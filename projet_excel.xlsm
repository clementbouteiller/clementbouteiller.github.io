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oute\Downloads\"/>
    </mc:Choice>
  </mc:AlternateContent>
  <xr:revisionPtr revIDLastSave="0" documentId="8_{F1CCC93F-35A0-483E-9408-D4B829B8DEDD}" xr6:coauthVersionLast="47" xr6:coauthVersionMax="47" xr10:uidLastSave="{00000000-0000-0000-0000-000000000000}"/>
  <bookViews>
    <workbookView xWindow="-120" yWindow="-120" windowWidth="20730" windowHeight="11160" xr2:uid="{D17D8BB1-C745-417E-BD70-C45F128FF27A}"/>
  </bookViews>
  <sheets>
    <sheet name="Accueil" sheetId="3" r:id="rId1"/>
    <sheet name="Notes" sheetId="2" r:id="rId2"/>
    <sheet name="Tableau de Bord" sheetId="1" r:id="rId3"/>
  </sheets>
  <definedNames>
    <definedName name="_xleta.IFERROR" hidden="1" xlm="1">#NAME?</definedName>
    <definedName name="NotesComp1">Notes!$D$2:$H$7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O8" i="2" s="1"/>
  <c r="V5" i="2"/>
  <c r="M8" i="2" l="1" a="1"/>
  <c r="M8" i="2" s="1"/>
  <c r="N8" i="2" s="1"/>
  <c r="V6" i="2" l="1"/>
  <c r="W10" i="2"/>
  <c r="W9" i="2"/>
  <c r="V9" i="2"/>
  <c r="V10" i="2"/>
  <c r="S3" i="2" l="1"/>
  <c r="L4" i="2"/>
  <c r="L3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M39" i="2" l="1" a="1"/>
  <c r="M39" i="2" s="1"/>
  <c r="N39" i="2" s="1"/>
  <c r="M29" i="2" a="1"/>
  <c r="M29" i="2" s="1"/>
  <c r="N29" i="2" s="1"/>
  <c r="M22" i="2" a="1"/>
  <c r="M22" i="2" s="1"/>
  <c r="N22" i="2" s="1"/>
  <c r="M13" i="2" a="1"/>
  <c r="M13" i="2" s="1"/>
  <c r="N13" i="2" s="1"/>
  <c r="V3" i="2" l="1"/>
  <c r="W3" i="2"/>
  <c r="X2" i="2"/>
  <c r="W2" i="2"/>
  <c r="X3" i="2"/>
  <c r="O29" i="2"/>
  <c r="L2" i="2"/>
  <c r="M2" i="2" s="1" a="1"/>
  <c r="M2" i="2" s="1"/>
  <c r="N2" i="2" s="1"/>
  <c r="V2" i="2" l="1"/>
  <c r="V4" i="2" s="1"/>
  <c r="V11" i="2"/>
  <c r="W4" i="2"/>
  <c r="X4" i="2"/>
  <c r="W11" i="2"/>
  <c r="O39" i="2"/>
  <c r="U14" i="2" l="1"/>
  <c r="O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<sst xmlns="http://schemas.openxmlformats.org/spreadsheetml/2006/main" count="80" uniqueCount="55">
  <si>
    <t>Semestre 1</t>
  </si>
  <si>
    <t>Tableur et Reporting</t>
  </si>
  <si>
    <t>Bases de données relationnelles 1</t>
  </si>
  <si>
    <t>Bases de la programmation 1</t>
  </si>
  <si>
    <t>Statistique descriptive 1</t>
  </si>
  <si>
    <t>Probabilités 1</t>
  </si>
  <si>
    <t>Mathématiques - analyse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</si>
  <si>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</si>
  <si>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</si>
  <si>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</si>
  <si>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PPP1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</si>
  <si>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</si>
  <si>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</si>
  <si>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</si>
  <si>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</si>
  <si>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</si>
  <si>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</si>
  <si>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</si>
  <si>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la programmation 2</t>
  </si>
  <si>
    <t>Programmation statistique</t>
  </si>
  <si>
    <t>Statistique descriptive 2</t>
  </si>
  <si>
    <t>Probabilités 2</t>
  </si>
  <si>
    <t>Bases de l'algèbre</t>
  </si>
  <si>
    <t>Statistique inférentielle</t>
  </si>
  <si>
    <t>Approfondissement de l'anglais de spécialité</t>
  </si>
  <si>
    <t>Communication et sémiologie</t>
  </si>
  <si>
    <t>Étude des données de l'environnement entrepreneurial et économique</t>
  </si>
  <si>
    <t>PPP2</t>
  </si>
  <si>
    <t>SAÉ - Conception et implémentation d'une base de données</t>
  </si>
  <si>
    <t>SAÉ - Estimation par échantillonnage</t>
  </si>
  <si>
    <t>SAÉ - Régression sur des données réelles</t>
  </si>
  <si>
    <t>SAÉ - Construction et présentation d'indicateurs de performance</t>
  </si>
  <si>
    <t>SAÉ - Datavisualisation</t>
  </si>
  <si>
    <t>SAÉ - Analyse de données, reporting et datavisualisation</t>
  </si>
  <si>
    <t>SAÉ - Portfolio</t>
  </si>
  <si>
    <t>Notes</t>
  </si>
  <si>
    <t>Compétence 1</t>
  </si>
  <si>
    <t>Compétence 2</t>
  </si>
  <si>
    <t>Compétence 3</t>
  </si>
  <si>
    <t>Résultat</t>
  </si>
  <si>
    <t>Moyenne par compétence</t>
  </si>
  <si>
    <t>Résultat semestre</t>
  </si>
  <si>
    <t>Coefficients</t>
  </si>
  <si>
    <t>Malus</t>
  </si>
  <si>
    <t>Moyenne</t>
  </si>
  <si>
    <t>Votre moyenne semestrielle est de :</t>
  </si>
  <si>
    <t>Votre semestre est :</t>
  </si>
  <si>
    <t>Nombre d'absence</t>
  </si>
  <si>
    <t xml:space="preserve"> </t>
  </si>
  <si>
    <t>ABI au S1</t>
  </si>
  <si>
    <t>ABI au S2</t>
  </si>
  <si>
    <t>Min</t>
  </si>
  <si>
    <t>Max</t>
  </si>
  <si>
    <t>Décision</t>
  </si>
  <si>
    <t>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</si>
</sst>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C987B"/>
        <bgColor rgb="FF000000"/>
      </patternFill>
    </fill>
    <fill>
      <patternFill patternType="solid">
        <fgColor rgb="FFFED96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rgb="FF000000"/>
      </patternFill>
    </fill>
    <fill>
      <patternFill patternType="solid">
        <fgColor theme="8" tint="0.59999389629810485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3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vertical="center" textRotation="90" wrapText="1"/>
    </xf>
    <xf numFmtId="0" fontId="0" fillId="0" borderId="1" xfId="0" applyBorder="1"/>
    <xf numFmtId="0" fontId="5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2" borderId="11" xfId="0" applyFont="1" applyFill="1" applyBorder="1" applyAlignment="1">
      <alignment vertical="center"/>
    </xf>
    <xf numFmtId="0" fontId="5" fillId="2" borderId="10" xfId="0" applyFont="1" applyFill="1" applyBorder="1" applyAlignment="1">
      <alignment vertical="center"/>
    </xf>
    <xf numFmtId="0" fontId="5" fillId="5" borderId="11" xfId="0" applyFont="1" applyFill="1" applyBorder="1" applyAlignment="1">
      <alignment vertical="center" wrapText="1"/>
    </xf>
    <xf numFmtId="0" fontId="5" fillId="3" borderId="11" xfId="0" applyFont="1" applyFill="1" applyBorder="1" applyAlignment="1">
      <alignment vertical="center" wrapText="1"/>
    </xf>
    <xf numFmtId="0" fontId="5" fillId="0" borderId="6" xfId="0" applyFont="1" applyBorder="1" applyAlignment="1">
      <alignment horizontal="center" vertical="center"/>
    </xf>
    <xf numFmtId="0" fontId="0" fillId="0" borderId="2" xfId="0" applyBorder="1"/>
    <xf numFmtId="0" fontId="5" fillId="2" borderId="15" xfId="0" applyFont="1" applyFill="1" applyBorder="1" applyAlignment="1">
      <alignment vertical="center"/>
    </xf>
    <xf numFmtId="0" fontId="5" fillId="5" borderId="15" xfId="0" applyFont="1" applyFill="1" applyBorder="1" applyAlignment="1">
      <alignment vertical="center" wrapText="1"/>
    </xf>
    <xf numFmtId="0" fontId="7" fillId="5" borderId="15" xfId="0" applyFont="1" applyFill="1" applyBorder="1" applyAlignment="1">
      <alignment vertical="center" wrapText="1"/>
    </xf>
    <xf numFmtId="0" fontId="5" fillId="3" borderId="15" xfId="0" applyFont="1" applyFill="1" applyBorder="1" applyAlignment="1">
      <alignment vertical="center" wrapText="1"/>
    </xf>
    <xf numFmtId="0" fontId="0" fillId="0" borderId="18" xfId="0" applyBorder="1"/>
    <xf numFmtId="0" fontId="0" fillId="0" borderId="12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3" fillId="0" borderId="3" xfId="0" applyFont="1" applyBorder="1" applyAlignment="1">
      <alignment horizontal="center" vertic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4" borderId="11" xfId="0" applyFill="1" applyBorder="1"/>
    <xf numFmtId="0" fontId="5" fillId="6" borderId="11" xfId="0" applyFont="1" applyFill="1" applyBorder="1" applyAlignment="1">
      <alignment vertical="center"/>
    </xf>
    <xf numFmtId="0" fontId="5" fillId="6" borderId="15" xfId="0" applyFont="1" applyFill="1" applyBorder="1" applyAlignment="1">
      <alignment vertical="center"/>
    </xf>
    <xf numFmtId="0" fontId="5" fillId="6" borderId="15" xfId="0" applyFont="1" applyFill="1" applyBorder="1" applyAlignment="1">
      <alignment vertical="center" wrapText="1"/>
    </xf>
    <xf numFmtId="0" fontId="2" fillId="4" borderId="17" xfId="0" applyFont="1" applyFill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2" fontId="0" fillId="0" borderId="5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4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Border="1" applyAlignment="1">
      <alignment horizontal="right"/>
    </xf>
    <xf numFmtId="0" fontId="1" fillId="4" borderId="11" xfId="0" applyFont="1" applyFill="1" applyBorder="1" applyAlignment="1">
      <alignment horizontal="center" vertical="center"/>
    </xf>
    <xf numFmtId="164" fontId="0" fillId="0" borderId="5" xfId="0" applyNumberFormat="1" applyBorder="1" applyAlignment="1">
      <alignment horizontal="center"/>
    </xf>
    <xf numFmtId="0" fontId="2" fillId="4" borderId="1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11" xfId="0" applyBorder="1"/>
    <xf numFmtId="0" fontId="1" fillId="4" borderId="5" xfId="0" applyFont="1" applyFill="1" applyBorder="1" applyAlignment="1">
      <alignment horizontal="center" vertical="center"/>
    </xf>
    <xf numFmtId="0" fontId="0" fillId="4" borderId="4" xfId="0" applyFill="1" applyBorder="1"/>
    <xf numFmtId="164" fontId="0" fillId="0" borderId="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7" xfId="0" applyBorder="1"/>
    <xf numFmtId="0" fontId="0" fillId="4" borderId="30" xfId="0" applyFill="1" applyBorder="1"/>
    <xf numFmtId="164" fontId="0" fillId="0" borderId="26" xfId="0" applyNumberFormat="1" applyBorder="1"/>
    <xf numFmtId="0" fontId="0" fillId="0" borderId="29" xfId="0" applyBorder="1"/>
    <xf numFmtId="164" fontId="0" fillId="0" borderId="11" xfId="0" applyNumberFormat="1" applyBorder="1"/>
    <xf numFmtId="2" fontId="0" fillId="0" borderId="31" xfId="0" applyNumberFormat="1" applyBorder="1"/>
    <xf numFmtId="2" fontId="0" fillId="0" borderId="11" xfId="0" applyNumberFormat="1" applyBorder="1"/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8" fillId="4" borderId="17" xfId="0" applyFont="1" applyFill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</cellXfs>
  <cellStyles count="1"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Moyenne</a:t>
            </a:r>
            <a:r>
              <a:rPr lang="fr-FR" baseline="0">
                <a:solidFill>
                  <a:schemeClr val="bg1"/>
                </a:solidFill>
              </a:rPr>
              <a:t> par compétence et par semestre</a:t>
            </a:r>
            <a:endParaRPr lang="fr-FR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2070623359580052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Notes!$U$2</c:f>
              <c:strCache>
                <c:ptCount val="1"/>
                <c:pt idx="0">
                  <c:v>Semestre 1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Notes!$V$1:$X$1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Notes!$V$2:$X$2</c:f>
              <c:numCache>
                <c:formatCode>0.0</c:formatCode>
                <c:ptCount val="3"/>
                <c:pt idx="0">
                  <c:v>13.733333333333333</c:v>
                </c:pt>
                <c:pt idx="1">
                  <c:v>13.625</c:v>
                </c:pt>
                <c:pt idx="2">
                  <c:v>16.991764705882353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27-49B2-AC74-525C107BFF44}"/>
            </c:ext>
          </c:extLst>
        </c:ser>
        <c:ser>
          <c:idx val="1"/>
          <c:order val="1"/>
          <c:tx>
            <c:strRef>
              <c:f>Notes!$U$3</c:f>
              <c:strCache>
                <c:ptCount val="1"/>
                <c:pt idx="0">
                  <c:v>Semestre 2</c:v>
                </c:pt>
              </c:strCache>
            </c:strRef>
          </c:tx>
          <c:spPr>
            <a:solidFill>
              <a:srgbClr val="CC0000"/>
            </a:solidFill>
            <a:ln>
              <a:noFill/>
            </a:ln>
            <a:effectLst/>
          </c:spPr>
          <c:invertIfNegative val="0"/>
          <c:cat>
            <c:strRef>
              <c:f>Notes!$V$1:$X$1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Notes!$V$3:$X$3</c:f>
              <c:numCache>
                <c:formatCode>0.0</c:formatCode>
                <c:ptCount val="3"/>
                <c:pt idx="0">
                  <c:v>0</c:v>
                </c:pt>
                <c:pt idx="1">
                  <c:v>9.9642857142857135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27-49B2-AC74-525C107BF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0703312"/>
        <c:axId val="1680700912"/>
      </c:barChart>
      <c:catAx>
        <c:axId val="168070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>
            <a:glow>
              <a:schemeClr val="accent1"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0700912"/>
        <c:crosses val="autoZero"/>
        <c:auto val="1"/>
        <c:lblAlgn val="ctr"/>
        <c:lblOffset val="100"/>
        <c:noMultiLvlLbl val="0"/>
      </c:catAx>
      <c:valAx>
        <c:axId val="1680700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>
            <a:glow rad="215900">
              <a:schemeClr val="accent1"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070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aseline="0">
                <a:solidFill>
                  <a:schemeClr val="bg1"/>
                </a:solidFill>
              </a:rPr>
              <a:t>Indicateurs pour l'élève suivant le semestre</a:t>
            </a:r>
          </a:p>
        </c:rich>
      </c:tx>
      <c:layout>
        <c:manualLayout>
          <c:xMode val="edge"/>
          <c:yMode val="edge"/>
          <c:x val="0.21064359247816633"/>
          <c:y val="4.44443173146910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Notes!$U$9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Notes!$V$8:$W$8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Notes!$V$9:$W$9</c:f>
              <c:numCache>
                <c:formatCode>General</c:formatCode>
                <c:ptCount val="2"/>
                <c:pt idx="0">
                  <c:v>8</c:v>
                </c:pt>
                <c:pt idx="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9-4604-9236-0EF33D720DAB}"/>
            </c:ext>
          </c:extLst>
        </c:ser>
        <c:ser>
          <c:idx val="1"/>
          <c:order val="1"/>
          <c:tx>
            <c:strRef>
              <c:f>Notes!$U$10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Notes!$V$8:$W$8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Notes!$V$10:$W$10</c:f>
              <c:numCache>
                <c:formatCode>General</c:formatCode>
                <c:ptCount val="2"/>
                <c:pt idx="0">
                  <c:v>20</c:v>
                </c:pt>
                <c:pt idx="1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89-4604-9236-0EF33D720DAB}"/>
            </c:ext>
          </c:extLst>
        </c:ser>
        <c:ser>
          <c:idx val="2"/>
          <c:order val="2"/>
          <c:tx>
            <c:strRef>
              <c:f>Notes!$U$11</c:f>
              <c:strCache>
                <c:ptCount val="1"/>
                <c:pt idx="0">
                  <c:v>Moyenne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Notes!$V$8:$W$8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Notes!$V$11:$W$11</c:f>
              <c:numCache>
                <c:formatCode>0.00</c:formatCode>
                <c:ptCount val="2"/>
                <c:pt idx="0">
                  <c:v>14.783366013071896</c:v>
                </c:pt>
                <c:pt idx="1">
                  <c:v>9.7642857142857142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89-4604-9236-0EF33D720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6633136"/>
        <c:axId val="416634576"/>
      </c:lineChart>
      <c:catAx>
        <c:axId val="4166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6634576"/>
        <c:crosses val="autoZero"/>
        <c:auto val="1"/>
        <c:lblAlgn val="ctr"/>
        <c:lblOffset val="100"/>
        <c:noMultiLvlLbl val="0"/>
      </c:catAx>
      <c:valAx>
        <c:axId val="41663457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663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697978651239135"/>
          <c:y val="0.92352622718562005"/>
          <c:w val="0.35029146714025788"/>
          <c:h val="7.6473772814379934E-2"/>
        </c:manualLayout>
      </c:layout>
      <c:overlay val="0"/>
      <c:spPr>
        <a:noFill/>
        <a:ln>
          <a:noFill/>
        </a:ln>
        <a:effectLst>
          <a:glow rad="127000">
            <a:srgbClr val="FF0000"/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Profil</a:t>
            </a:r>
            <a:r>
              <a:rPr lang="fr-FR" baseline="0">
                <a:solidFill>
                  <a:schemeClr val="bg1"/>
                </a:solidFill>
              </a:rPr>
              <a:t> de l'élève durant l'année</a:t>
            </a:r>
            <a:endParaRPr lang="fr-FR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57441734699740832"/>
          <c:y val="0.212849624332207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233897607382689"/>
          <c:y val="0.18619279338796674"/>
          <c:w val="0.32171288333674214"/>
          <c:h val="0.67747117662553014"/>
        </c:manualLayout>
      </c:layout>
      <c:radarChart>
        <c:radarStyle val="marker"/>
        <c:varyColors val="0"/>
        <c:ser>
          <c:idx val="0"/>
          <c:order val="0"/>
          <c:tx>
            <c:strRef>
              <c:f>Notes!$U$2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Notes!$V$1:$X$1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Notes!$V$2:$X$2</c:f>
              <c:numCache>
                <c:formatCode>0.0</c:formatCode>
                <c:ptCount val="3"/>
                <c:pt idx="0">
                  <c:v>13.733333333333333</c:v>
                </c:pt>
                <c:pt idx="1">
                  <c:v>13.625</c:v>
                </c:pt>
                <c:pt idx="2">
                  <c:v>16.991764705882353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A-4630-AF58-B4827CC4E329}"/>
            </c:ext>
          </c:extLst>
        </c:ser>
        <c:ser>
          <c:idx val="1"/>
          <c:order val="1"/>
          <c:tx>
            <c:strRef>
              <c:f>Notes!$U$3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Notes!$V$1:$X$1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Notes!$V$3:$X$3</c:f>
              <c:numCache>
                <c:formatCode>0.0</c:formatCode>
                <c:ptCount val="3"/>
                <c:pt idx="0">
                  <c:v>0</c:v>
                </c:pt>
                <c:pt idx="1">
                  <c:v>9.9642857142857135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4A-4630-AF58-B4827CC4E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126799"/>
        <c:axId val="1288142639"/>
      </c:radarChart>
      <c:catAx>
        <c:axId val="1288126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8142639"/>
        <c:crosses val="autoZero"/>
        <c:auto val="1"/>
        <c:lblAlgn val="ctr"/>
        <c:lblOffset val="100"/>
        <c:noMultiLvlLbl val="0"/>
      </c:catAx>
      <c:valAx>
        <c:axId val="1288142639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8126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0.75935075753936487"/>
          <c:y val="0.49084159020539142"/>
          <c:w val="0.16060209987976373"/>
          <c:h val="0.157644389112728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12" Type="http://schemas.openxmlformats.org/officeDocument/2006/relationships/image" Target="../media/image10.svg"/><Relationship Id="rId17" Type="http://schemas.openxmlformats.org/officeDocument/2006/relationships/image" Target="../media/image14.svg"/><Relationship Id="rId2" Type="http://schemas.openxmlformats.org/officeDocument/2006/relationships/image" Target="../media/image1.png"/><Relationship Id="rId16" Type="http://schemas.openxmlformats.org/officeDocument/2006/relationships/image" Target="../media/image13.png"/><Relationship Id="rId1" Type="http://schemas.openxmlformats.org/officeDocument/2006/relationships/hyperlink" Target="#'Tableau de Bord'!A1"/><Relationship Id="rId6" Type="http://schemas.openxmlformats.org/officeDocument/2006/relationships/image" Target="../media/image4.sv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5" Type="http://schemas.openxmlformats.org/officeDocument/2006/relationships/hyperlink" Target="https://youtu.be/H3S7Cjme5wU" TargetMode="External"/><Relationship Id="rId10" Type="http://schemas.openxmlformats.org/officeDocument/2006/relationships/image" Target="../media/image8.svg"/><Relationship Id="rId19" Type="http://schemas.openxmlformats.org/officeDocument/2006/relationships/image" Target="../media/image16.svg"/><Relationship Id="rId4" Type="http://schemas.openxmlformats.org/officeDocument/2006/relationships/hyperlink" Target="#Notes!A1"/><Relationship Id="rId9" Type="http://schemas.openxmlformats.org/officeDocument/2006/relationships/image" Target="../media/image7.png"/><Relationship Id="rId14" Type="http://schemas.openxmlformats.org/officeDocument/2006/relationships/image" Target="../media/image12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svg"/><Relationship Id="rId2" Type="http://schemas.openxmlformats.org/officeDocument/2006/relationships/image" Target="../media/image17.png"/><Relationship Id="rId1" Type="http://schemas.openxmlformats.org/officeDocument/2006/relationships/hyperlink" Target="#'Tableau de Bord'!A1"/><Relationship Id="rId6" Type="http://schemas.openxmlformats.org/officeDocument/2006/relationships/image" Target="../media/image20.svg"/><Relationship Id="rId5" Type="http://schemas.openxmlformats.org/officeDocument/2006/relationships/image" Target="../media/image19.png"/><Relationship Id="rId4" Type="http://schemas.openxmlformats.org/officeDocument/2006/relationships/hyperlink" Target="#Accuei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4.svg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hyperlink" Target="#Notes!A1"/><Relationship Id="rId6" Type="http://schemas.openxmlformats.org/officeDocument/2006/relationships/image" Target="../media/image20.svg"/><Relationship Id="rId5" Type="http://schemas.openxmlformats.org/officeDocument/2006/relationships/image" Target="../media/image19.png"/><Relationship Id="rId4" Type="http://schemas.openxmlformats.org/officeDocument/2006/relationships/hyperlink" Target="#Accueil!A1"/><Relationship Id="rId9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403412</xdr:colOff>
      <xdr:row>15</xdr:row>
      <xdr:rowOff>123265</xdr:rowOff>
    </xdr:from>
    <xdr:to>
      <xdr:col>24</xdr:col>
      <xdr:colOff>212912</xdr:colOff>
      <xdr:row>26</xdr:row>
      <xdr:rowOff>33618</xdr:rowOff>
    </xdr:to>
    <xdr:sp macro="" textlink="">
      <xdr:nvSpPr>
        <xdr:cNvPr id="30" name="Organigramme : Connecteur page suivan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10800000">
          <a:off x="17167412" y="2980765"/>
          <a:ext cx="1333500" cy="2005853"/>
        </a:xfrm>
        <a:prstGeom prst="flowChartOffpageConnector">
          <a:avLst/>
        </a:prstGeom>
        <a:solidFill>
          <a:schemeClr val="bg1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22</xdr:col>
      <xdr:colOff>397300</xdr:colOff>
      <xdr:row>27</xdr:row>
      <xdr:rowOff>78442</xdr:rowOff>
    </xdr:from>
    <xdr:to>
      <xdr:col>24</xdr:col>
      <xdr:colOff>206800</xdr:colOff>
      <xdr:row>37</xdr:row>
      <xdr:rowOff>179295</xdr:rowOff>
    </xdr:to>
    <xdr:sp macro="" textlink="">
      <xdr:nvSpPr>
        <xdr:cNvPr id="31" name="Organigramme : Connecteur page suivant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7161300" y="5221942"/>
          <a:ext cx="1333500" cy="2005853"/>
        </a:xfrm>
        <a:prstGeom prst="flowChartOffpageConnector">
          <a:avLst/>
        </a:prstGeom>
        <a:solidFill>
          <a:schemeClr val="bg1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533541</xdr:colOff>
      <xdr:row>5</xdr:row>
      <xdr:rowOff>1</xdr:rowOff>
    </xdr:from>
    <xdr:to>
      <xdr:col>20</xdr:col>
      <xdr:colOff>476391</xdr:colOff>
      <xdr:row>10</xdr:row>
      <xdr:rowOff>26614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05541" y="952501"/>
          <a:ext cx="10610850" cy="979113"/>
        </a:xfrm>
        <a:prstGeom prst="roundRect">
          <a:avLst/>
        </a:prstGeom>
        <a:solidFill>
          <a:schemeClr val="bg1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468827</xdr:colOff>
      <xdr:row>6</xdr:row>
      <xdr:rowOff>23951</xdr:rowOff>
    </xdr:from>
    <xdr:to>
      <xdr:col>15</xdr:col>
      <xdr:colOff>526676</xdr:colOff>
      <xdr:row>8</xdr:row>
      <xdr:rowOff>179292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850827" y="1166951"/>
          <a:ext cx="3105849" cy="536341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chemeClr val="bg1"/>
              </a:solidFill>
              <a:latin typeface="+mn-lt"/>
            </a:rPr>
            <a:t>Le</a:t>
          </a:r>
          <a:r>
            <a:rPr lang="fr-FR" sz="2800" b="1" baseline="0">
              <a:solidFill>
                <a:schemeClr val="bg1"/>
              </a:solidFill>
              <a:latin typeface="+mn-lt"/>
            </a:rPr>
            <a:t> passage Clément </a:t>
          </a:r>
          <a:endParaRPr lang="fr-FR" sz="28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22</xdr:col>
      <xdr:colOff>473382</xdr:colOff>
      <xdr:row>28</xdr:row>
      <xdr:rowOff>106146</xdr:rowOff>
    </xdr:from>
    <xdr:to>
      <xdr:col>24</xdr:col>
      <xdr:colOff>154324</xdr:colOff>
      <xdr:row>34</xdr:row>
      <xdr:rowOff>168088</xdr:rowOff>
    </xdr:to>
    <xdr:pic macro="[0]!LienTableauDeBord.LienTableauDeBord">
      <xdr:nvPicPr>
        <xdr:cNvPr id="27" name="Graphique 26" descr="Statistiques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237382" y="5440146"/>
          <a:ext cx="1204942" cy="1204942"/>
        </a:xfrm>
        <a:prstGeom prst="rect">
          <a:avLst/>
        </a:prstGeom>
      </xdr:spPr>
    </xdr:pic>
    <xdr:clientData/>
  </xdr:twoCellAnchor>
  <xdr:twoCellAnchor editAs="oneCell">
    <xdr:from>
      <xdr:col>22</xdr:col>
      <xdr:colOff>332026</xdr:colOff>
      <xdr:row>19</xdr:row>
      <xdr:rowOff>11205</xdr:rowOff>
    </xdr:from>
    <xdr:to>
      <xdr:col>24</xdr:col>
      <xdr:colOff>257733</xdr:colOff>
      <xdr:row>24</xdr:row>
      <xdr:rowOff>133674</xdr:rowOff>
    </xdr:to>
    <xdr:pic macro="[0]!FonctionsAccueil.LienNotes">
      <xdr:nvPicPr>
        <xdr:cNvPr id="33" name="Graphique 32" descr="Liste avec un remplissage uni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096026" y="3630705"/>
          <a:ext cx="1449707" cy="1074969"/>
        </a:xfrm>
        <a:prstGeom prst="rect">
          <a:avLst/>
        </a:prstGeom>
      </xdr:spPr>
    </xdr:pic>
    <xdr:clientData/>
  </xdr:twoCellAnchor>
  <xdr:twoCellAnchor editAs="oneCell">
    <xdr:from>
      <xdr:col>19</xdr:col>
      <xdr:colOff>35383</xdr:colOff>
      <xdr:row>5</xdr:row>
      <xdr:rowOff>168088</xdr:rowOff>
    </xdr:from>
    <xdr:to>
      <xdr:col>19</xdr:col>
      <xdr:colOff>716226</xdr:colOff>
      <xdr:row>9</xdr:row>
      <xdr:rowOff>86931</xdr:rowOff>
    </xdr:to>
    <xdr:pic macro="[0]!AfficherUFinfo">
      <xdr:nvPicPr>
        <xdr:cNvPr id="22" name="Graphique 21" descr="Questions avec un remplissage uni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513383" y="1120588"/>
          <a:ext cx="680843" cy="680843"/>
        </a:xfrm>
        <a:prstGeom prst="rect">
          <a:avLst/>
        </a:prstGeom>
      </xdr:spPr>
    </xdr:pic>
    <xdr:clientData/>
  </xdr:twoCellAnchor>
  <xdr:twoCellAnchor>
    <xdr:from>
      <xdr:col>5</xdr:col>
      <xdr:colOff>22411</xdr:colOff>
      <xdr:row>11</xdr:row>
      <xdr:rowOff>146794</xdr:rowOff>
    </xdr:from>
    <xdr:to>
      <xdr:col>22</xdr:col>
      <xdr:colOff>183498</xdr:colOff>
      <xdr:row>43</xdr:row>
      <xdr:rowOff>53925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96040612-A6CD-DBFB-371D-26CB39F40B51}"/>
            </a:ext>
          </a:extLst>
        </xdr:cNvPr>
        <xdr:cNvGrpSpPr/>
      </xdr:nvGrpSpPr>
      <xdr:grpSpPr>
        <a:xfrm>
          <a:off x="3832411" y="2242294"/>
          <a:ext cx="13115087" cy="6003131"/>
          <a:chOff x="3832411" y="2242294"/>
          <a:chExt cx="13115087" cy="6003131"/>
        </a:xfrm>
      </xdr:grpSpPr>
      <xdr:sp macro="[0]!AfficherUFnote" textlink="">
        <xdr:nvSpPr>
          <xdr:cNvPr id="2" name="Rectangle : coins arrondi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3832411" y="2242294"/>
            <a:ext cx="13115087" cy="6003131"/>
          </a:xfrm>
          <a:prstGeom prst="roundRect">
            <a:avLst/>
          </a:prstGeom>
          <a:solidFill>
            <a:schemeClr val="bg1">
              <a:lumMod val="75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fficherUFnote" textlink="">
        <xdr:nvSpPr>
          <xdr:cNvPr id="14" name="Rectangle : coins arrondis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605617" y="2700615"/>
            <a:ext cx="5233148" cy="2274795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AfficherUFnote">
        <xdr:nvPicPr>
          <xdr:cNvPr id="39" name="Graphique 38" descr="Fermer avec un remplissage uni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 rot="2700000">
            <a:off x="6824380" y="3650952"/>
            <a:ext cx="810838" cy="81083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728382</xdr:colOff>
      <xdr:row>15</xdr:row>
      <xdr:rowOff>112059</xdr:rowOff>
    </xdr:from>
    <xdr:to>
      <xdr:col>12</xdr:col>
      <xdr:colOff>67235</xdr:colOff>
      <xdr:row>18</xdr:row>
      <xdr:rowOff>123264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300382" y="2969559"/>
          <a:ext cx="3910853" cy="5827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400" b="1">
              <a:solidFill>
                <a:schemeClr val="bg1"/>
              </a:solidFill>
              <a:effectLst/>
              <a:latin typeface="Bahnschrift Light" panose="020B0502040204020203" pitchFamily="34" charset="0"/>
              <a:ea typeface="+mn-ea"/>
              <a:cs typeface="+mn-cs"/>
            </a:rPr>
            <a:t>Saisir</a:t>
          </a:r>
          <a:r>
            <a:rPr lang="fr-FR" sz="2400" b="1" baseline="0">
              <a:solidFill>
                <a:schemeClr val="bg1"/>
              </a:solidFill>
              <a:effectLst/>
              <a:latin typeface="Bahnschrift Light" panose="020B0502040204020203" pitchFamily="34" charset="0"/>
              <a:ea typeface="+mn-ea"/>
              <a:cs typeface="+mn-cs"/>
            </a:rPr>
            <a:t> une note ou une ABI</a:t>
          </a:r>
          <a:endParaRPr lang="fr-FR" sz="2400" b="1">
            <a:solidFill>
              <a:schemeClr val="bg1"/>
            </a:solidFill>
            <a:effectLst/>
            <a:latin typeface="Bahnschrift Light" panose="020B0502040204020203" pitchFamily="34" charset="0"/>
          </a:endParaRPr>
        </a:p>
        <a:p>
          <a:endParaRPr lang="fr-FR" sz="1100"/>
        </a:p>
      </xdr:txBody>
    </xdr:sp>
    <xdr:clientData/>
  </xdr:twoCellAnchor>
  <xdr:twoCellAnchor>
    <xdr:from>
      <xdr:col>14</xdr:col>
      <xdr:colOff>201708</xdr:colOff>
      <xdr:row>29</xdr:row>
      <xdr:rowOff>44832</xdr:rowOff>
    </xdr:from>
    <xdr:to>
      <xdr:col>21</xdr:col>
      <xdr:colOff>302561</xdr:colOff>
      <xdr:row>41</xdr:row>
      <xdr:rowOff>33627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11F047D6-F80C-086F-A505-4FF18745A168}"/>
            </a:ext>
          </a:extLst>
        </xdr:cNvPr>
        <xdr:cNvGrpSpPr/>
      </xdr:nvGrpSpPr>
      <xdr:grpSpPr>
        <a:xfrm>
          <a:off x="10869708" y="5569332"/>
          <a:ext cx="5434853" cy="2274795"/>
          <a:chOff x="10690412" y="5569332"/>
          <a:chExt cx="5434853" cy="2274795"/>
        </a:xfrm>
      </xdr:grpSpPr>
      <xdr:sp macro="[0]!AfficherUFabsences" textlink="">
        <xdr:nvSpPr>
          <xdr:cNvPr id="42" name="Rectangle : coins arrondis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10690412" y="5569332"/>
            <a:ext cx="5277970" cy="2274795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fficherUFabsences" textlink="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11799795" y="5748618"/>
            <a:ext cx="4325470" cy="403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2400" b="1">
                <a:solidFill>
                  <a:schemeClr val="bg1"/>
                </a:solidFill>
                <a:effectLst/>
                <a:latin typeface="Bahnschrift Light" panose="020B0502040204020203" pitchFamily="34" charset="0"/>
                <a:ea typeface="+mn-ea"/>
                <a:cs typeface="+mn-cs"/>
              </a:rPr>
              <a:t>Gérer</a:t>
            </a:r>
            <a:r>
              <a:rPr lang="fr-FR" sz="2400" b="1" baseline="0">
                <a:solidFill>
                  <a:schemeClr val="bg1"/>
                </a:solidFill>
                <a:effectLst/>
                <a:latin typeface="Bahnschrift Light" panose="020B0502040204020203" pitchFamily="34" charset="0"/>
                <a:ea typeface="+mn-ea"/>
                <a:cs typeface="+mn-cs"/>
              </a:rPr>
              <a:t> mes </a:t>
            </a:r>
            <a:r>
              <a:rPr lang="fr-FR" sz="2400" b="1">
                <a:solidFill>
                  <a:schemeClr val="bg1"/>
                </a:solidFill>
                <a:effectLst/>
                <a:latin typeface="Bahnschrift Light" panose="020B0502040204020203" pitchFamily="34" charset="0"/>
                <a:ea typeface="+mn-ea"/>
                <a:cs typeface="+mn-cs"/>
              </a:rPr>
              <a:t>absences</a:t>
            </a:r>
            <a:endParaRPr lang="fr-FR" sz="2400" b="1">
              <a:solidFill>
                <a:schemeClr val="bg1"/>
              </a:solidFill>
              <a:effectLst/>
              <a:latin typeface="Bahnschrift Light" panose="020B0502040204020203" pitchFamily="34" charset="0"/>
            </a:endParaRPr>
          </a:p>
        </xdr:txBody>
      </xdr:sp>
      <xdr:pic macro="[0]!AfficherUFabsences">
        <xdr:nvPicPr>
          <xdr:cNvPr id="26" name="Graphique 25" descr="Dormir avec un remplissage uni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791997" y="6271781"/>
            <a:ext cx="1047267" cy="10472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33616</xdr:colOff>
      <xdr:row>29</xdr:row>
      <xdr:rowOff>11206</xdr:rowOff>
    </xdr:from>
    <xdr:to>
      <xdr:col>12</xdr:col>
      <xdr:colOff>694764</xdr:colOff>
      <xdr:row>41</xdr:row>
      <xdr:rowOff>1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35F4CCC9-CB31-F0F1-EA5B-8788BB40987C}"/>
            </a:ext>
          </a:extLst>
        </xdr:cNvPr>
        <xdr:cNvGrpSpPr/>
      </xdr:nvGrpSpPr>
      <xdr:grpSpPr>
        <a:xfrm>
          <a:off x="4605616" y="5535706"/>
          <a:ext cx="5233148" cy="2274795"/>
          <a:chOff x="4605616" y="5535706"/>
          <a:chExt cx="5233148" cy="2274795"/>
        </a:xfrm>
      </xdr:grpSpPr>
      <xdr:sp macro="[0]!AfficherUFModifNote" textlink="">
        <xdr:nvSpPr>
          <xdr:cNvPr id="45" name="Rectangle : coins arrondis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4605616" y="5535706"/>
            <a:ext cx="5233148" cy="2274795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AfficherUFModifNote">
        <xdr:nvPicPr>
          <xdr:cNvPr id="21" name="Graphique 20" descr="Crayon avec un remplissage uni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6824382" y="6528548"/>
            <a:ext cx="761999" cy="761999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549088</xdr:colOff>
      <xdr:row>30</xdr:row>
      <xdr:rowOff>22413</xdr:rowOff>
    </xdr:from>
    <xdr:to>
      <xdr:col>12</xdr:col>
      <xdr:colOff>649941</xdr:colOff>
      <xdr:row>33</xdr:row>
      <xdr:rowOff>33618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5121088" y="5737413"/>
          <a:ext cx="4672853" cy="5827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400" b="1" baseline="0">
              <a:solidFill>
                <a:schemeClr val="bg1"/>
              </a:solidFill>
              <a:effectLst/>
              <a:latin typeface="Bahnschrift Light" panose="020B0502040204020203" pitchFamily="34" charset="0"/>
              <a:ea typeface="+mn-ea"/>
              <a:cs typeface="+mn-cs"/>
            </a:rPr>
            <a:t>Modifier une note ou une ABI</a:t>
          </a:r>
          <a:endParaRPr lang="fr-FR" sz="2400" b="1">
            <a:solidFill>
              <a:schemeClr val="bg1"/>
            </a:solidFill>
            <a:effectLst/>
            <a:latin typeface="Bahnschrift Light" panose="020B0502040204020203" pitchFamily="34" charset="0"/>
          </a:endParaRPr>
        </a:p>
        <a:p>
          <a:endParaRPr lang="fr-FR" sz="1100"/>
        </a:p>
      </xdr:txBody>
    </xdr:sp>
    <xdr:clientData/>
  </xdr:twoCellAnchor>
  <xdr:twoCellAnchor>
    <xdr:from>
      <xdr:col>14</xdr:col>
      <xdr:colOff>225663</xdr:colOff>
      <xdr:row>14</xdr:row>
      <xdr:rowOff>1116</xdr:rowOff>
    </xdr:from>
    <xdr:to>
      <xdr:col>21</xdr:col>
      <xdr:colOff>168090</xdr:colOff>
      <xdr:row>26</xdr:row>
      <xdr:rowOff>44824</xdr:rowOff>
    </xdr:to>
    <xdr:sp macro="[0]!ReinitialiserNotes" textlink="">
      <xdr:nvSpPr>
        <xdr:cNvPr id="38" name="Rectangle : coins arrondi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0893663" y="2668116"/>
          <a:ext cx="5276427" cy="2329708"/>
        </a:xfrm>
        <a:prstGeom prst="roundRect">
          <a:avLst/>
        </a:prstGeom>
        <a:solidFill>
          <a:schemeClr val="bg1">
            <a:lumMod val="50000"/>
          </a:schemeClr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7</xdr:col>
      <xdr:colOff>60352</xdr:colOff>
      <xdr:row>5</xdr:row>
      <xdr:rowOff>116223</xdr:rowOff>
    </xdr:from>
    <xdr:to>
      <xdr:col>8</xdr:col>
      <xdr:colOff>11205</xdr:colOff>
      <xdr:row>9</xdr:row>
      <xdr:rowOff>67076</xdr:rowOff>
    </xdr:to>
    <xdr:pic>
      <xdr:nvPicPr>
        <xdr:cNvPr id="9" name="Graphique 8" descr="Trombone avec un remplissage uni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9B1C59B-34ED-E33C-2A94-3C74BDB04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5394352" y="1068723"/>
          <a:ext cx="712853" cy="712853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15</xdr:row>
      <xdr:rowOff>89646</xdr:rowOff>
    </xdr:from>
    <xdr:to>
      <xdr:col>20</xdr:col>
      <xdr:colOff>179294</xdr:colOff>
      <xdr:row>17</xdr:row>
      <xdr:rowOff>179293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1979088" y="2947146"/>
          <a:ext cx="3440206" cy="47064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400" b="1">
              <a:solidFill>
                <a:schemeClr val="bg1"/>
              </a:solidFill>
              <a:effectLst/>
              <a:latin typeface="Bahnschrift Light" panose="020B0502040204020203" pitchFamily="34" charset="0"/>
              <a:ea typeface="+mn-ea"/>
              <a:cs typeface="+mn-cs"/>
            </a:rPr>
            <a:t>Réinitialiser</a:t>
          </a:r>
          <a:r>
            <a:rPr lang="fr-FR" sz="2400" b="1" baseline="0">
              <a:solidFill>
                <a:schemeClr val="bg1"/>
              </a:solidFill>
              <a:effectLst/>
              <a:latin typeface="Bahnschrift Light" panose="020B0502040204020203" pitchFamily="34" charset="0"/>
              <a:ea typeface="+mn-ea"/>
              <a:cs typeface="+mn-cs"/>
            </a:rPr>
            <a:t> les notes</a:t>
          </a:r>
          <a:endParaRPr lang="fr-FR" sz="2400" b="1">
            <a:solidFill>
              <a:schemeClr val="bg1"/>
            </a:solidFill>
            <a:effectLst/>
            <a:latin typeface="Bahnschrift Light" panose="020B0502040204020203" pitchFamily="34" charset="0"/>
          </a:endParaRPr>
        </a:p>
        <a:p>
          <a:endParaRPr lang="fr-FR" sz="1100"/>
        </a:p>
      </xdr:txBody>
    </xdr:sp>
    <xdr:clientData/>
  </xdr:twoCellAnchor>
  <xdr:twoCellAnchor editAs="oneCell">
    <xdr:from>
      <xdr:col>17</xdr:col>
      <xdr:colOff>179294</xdr:colOff>
      <xdr:row>18</xdr:row>
      <xdr:rowOff>78442</xdr:rowOff>
    </xdr:from>
    <xdr:to>
      <xdr:col>18</xdr:col>
      <xdr:colOff>392206</xdr:colOff>
      <xdr:row>23</xdr:row>
      <xdr:rowOff>100854</xdr:rowOff>
    </xdr:to>
    <xdr:pic macro="[0]!ReinitialiserNotes">
      <xdr:nvPicPr>
        <xdr:cNvPr id="11" name="Graphique 10" descr="Collision avec un remplissage uni">
          <a:extLst>
            <a:ext uri="{FF2B5EF4-FFF2-40B4-BE49-F238E27FC236}">
              <a16:creationId xmlns:a16="http://schemas.microsoft.com/office/drawing/2014/main" id="{A369A56E-6070-B22F-9A8C-22AFF62F2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133294" y="3507442"/>
          <a:ext cx="974912" cy="9749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212909</xdr:colOff>
      <xdr:row>9</xdr:row>
      <xdr:rowOff>190500</xdr:rowOff>
    </xdr:from>
    <xdr:to>
      <xdr:col>17</xdr:col>
      <xdr:colOff>22409</xdr:colOff>
      <xdr:row>18</xdr:row>
      <xdr:rowOff>190500</xdr:rowOff>
    </xdr:to>
    <xdr:sp macro="" textlink="">
      <xdr:nvSpPr>
        <xdr:cNvPr id="12" name="Organigramme : Connecteur page suivan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20573997" y="1994647"/>
          <a:ext cx="1333500" cy="2005853"/>
        </a:xfrm>
        <a:prstGeom prst="flowChartOffpageConnector">
          <a:avLst/>
        </a:prstGeom>
        <a:solidFill>
          <a:schemeClr val="bg1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212912</xdr:colOff>
      <xdr:row>20</xdr:row>
      <xdr:rowOff>0</xdr:rowOff>
    </xdr:from>
    <xdr:to>
      <xdr:col>17</xdr:col>
      <xdr:colOff>22412</xdr:colOff>
      <xdr:row>28</xdr:row>
      <xdr:rowOff>179294</xdr:rowOff>
    </xdr:to>
    <xdr:sp macro="" textlink="">
      <xdr:nvSpPr>
        <xdr:cNvPr id="10" name="Organigramme : Connecteur page suivan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0574000" y="4213412"/>
          <a:ext cx="1333500" cy="1804147"/>
        </a:xfrm>
        <a:prstGeom prst="flowChartOffpageConnector">
          <a:avLst/>
        </a:prstGeom>
        <a:solidFill>
          <a:schemeClr val="bg1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3200"/>
        </a:p>
      </xdr:txBody>
    </xdr:sp>
    <xdr:clientData/>
  </xdr:twoCellAnchor>
  <xdr:twoCellAnchor editAs="oneCell">
    <xdr:from>
      <xdr:col>15</xdr:col>
      <xdr:colOff>358589</xdr:colOff>
      <xdr:row>21</xdr:row>
      <xdr:rowOff>-1</xdr:rowOff>
    </xdr:from>
    <xdr:to>
      <xdr:col>16</xdr:col>
      <xdr:colOff>642089</xdr:colOff>
      <xdr:row>26</xdr:row>
      <xdr:rowOff>36970</xdr:rowOff>
    </xdr:to>
    <xdr:pic macro="[0]!LienTableauDeBord.LienTableauDeBord">
      <xdr:nvPicPr>
        <xdr:cNvPr id="5" name="Graphique 4" descr="Statistiques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638560" y="4426323"/>
          <a:ext cx="1045500" cy="1045500"/>
        </a:xfrm>
        <a:prstGeom prst="rect">
          <a:avLst/>
        </a:prstGeom>
      </xdr:spPr>
    </xdr:pic>
    <xdr:clientData/>
  </xdr:twoCellAnchor>
  <xdr:twoCellAnchor editAs="oneCell">
    <xdr:from>
      <xdr:col>15</xdr:col>
      <xdr:colOff>347383</xdr:colOff>
      <xdr:row>11</xdr:row>
      <xdr:rowOff>145675</xdr:rowOff>
    </xdr:from>
    <xdr:to>
      <xdr:col>16</xdr:col>
      <xdr:colOff>630883</xdr:colOff>
      <xdr:row>16</xdr:row>
      <xdr:rowOff>182646</xdr:rowOff>
    </xdr:to>
    <xdr:pic macro="[0]!FonctionsAccueil.BtnRevenirAccueil">
      <xdr:nvPicPr>
        <xdr:cNvPr id="15" name="Graphique 14" descr="Logement avec un remplissage uni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627354" y="2543734"/>
          <a:ext cx="1045500" cy="1045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545522</xdr:colOff>
      <xdr:row>30</xdr:row>
      <xdr:rowOff>180759</xdr:rowOff>
    </xdr:from>
    <xdr:to>
      <xdr:col>24</xdr:col>
      <xdr:colOff>355022</xdr:colOff>
      <xdr:row>41</xdr:row>
      <xdr:rowOff>91112</xdr:rowOff>
    </xdr:to>
    <xdr:sp macro="" textlink="">
      <xdr:nvSpPr>
        <xdr:cNvPr id="9" name="Organigramme : Connecteur page suivant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7309522" y="5895759"/>
          <a:ext cx="1333500" cy="2005853"/>
        </a:xfrm>
        <a:prstGeom prst="flowChartOffpageConnector">
          <a:avLst/>
        </a:prstGeom>
        <a:solidFill>
          <a:schemeClr val="bg1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239453</xdr:colOff>
      <xdr:row>9</xdr:row>
      <xdr:rowOff>43296</xdr:rowOff>
    </xdr:from>
    <xdr:to>
      <xdr:col>22</xdr:col>
      <xdr:colOff>215640</xdr:colOff>
      <xdr:row>47</xdr:row>
      <xdr:rowOff>90268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63453" y="1757796"/>
          <a:ext cx="15216187" cy="7285972"/>
        </a:xfrm>
        <a:prstGeom prst="roundRect">
          <a:avLst/>
        </a:prstGeom>
        <a:solidFill>
          <a:schemeClr val="bg1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22</xdr:col>
      <xdr:colOff>516298</xdr:colOff>
      <xdr:row>18</xdr:row>
      <xdr:rowOff>151533</xdr:rowOff>
    </xdr:from>
    <xdr:to>
      <xdr:col>24</xdr:col>
      <xdr:colOff>325798</xdr:colOff>
      <xdr:row>29</xdr:row>
      <xdr:rowOff>61886</xdr:rowOff>
    </xdr:to>
    <xdr:sp macro="" textlink="">
      <xdr:nvSpPr>
        <xdr:cNvPr id="5" name="Organigramme : Connecteur page suivant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10800000">
          <a:off x="17280298" y="3580533"/>
          <a:ext cx="1333500" cy="2005853"/>
        </a:xfrm>
        <a:prstGeom prst="flowChartOffpageConnector">
          <a:avLst/>
        </a:prstGeom>
        <a:solidFill>
          <a:schemeClr val="bg1">
            <a:lumMod val="7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22</xdr:col>
      <xdr:colOff>625619</xdr:colOff>
      <xdr:row>32</xdr:row>
      <xdr:rowOff>37883</xdr:rowOff>
    </xdr:from>
    <xdr:to>
      <xdr:col>24</xdr:col>
      <xdr:colOff>259772</xdr:colOff>
      <xdr:row>38</xdr:row>
      <xdr:rowOff>53036</xdr:rowOff>
    </xdr:to>
    <xdr:pic macro="[0]!FonctionsAccueil.LienNotes">
      <xdr:nvPicPr>
        <xdr:cNvPr id="8" name="Graphique 7" descr="Liste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389619" y="6133883"/>
          <a:ext cx="1158153" cy="1158153"/>
        </a:xfrm>
        <a:prstGeom prst="rect">
          <a:avLst/>
        </a:prstGeom>
      </xdr:spPr>
    </xdr:pic>
    <xdr:clientData/>
  </xdr:twoCellAnchor>
  <xdr:twoCellAnchor editAs="oneCell">
    <xdr:from>
      <xdr:col>22</xdr:col>
      <xdr:colOff>675408</xdr:colOff>
      <xdr:row>21</xdr:row>
      <xdr:rowOff>167770</xdr:rowOff>
    </xdr:from>
    <xdr:to>
      <xdr:col>24</xdr:col>
      <xdr:colOff>196908</xdr:colOff>
      <xdr:row>27</xdr:row>
      <xdr:rowOff>70270</xdr:rowOff>
    </xdr:to>
    <xdr:pic macro="[0]!FonctionsAccueil.BtnRevenirAccueil">
      <xdr:nvPicPr>
        <xdr:cNvPr id="15" name="Graphique 14" descr="Logement avec un remplissage uni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9408" y="4168270"/>
          <a:ext cx="1045500" cy="1045500"/>
        </a:xfrm>
        <a:prstGeom prst="rect">
          <a:avLst/>
        </a:prstGeom>
      </xdr:spPr>
    </xdr:pic>
    <xdr:clientData/>
  </xdr:twoCellAnchor>
  <xdr:twoCellAnchor>
    <xdr:from>
      <xdr:col>3</xdr:col>
      <xdr:colOff>292246</xdr:colOff>
      <xdr:row>13</xdr:row>
      <xdr:rowOff>75458</xdr:rowOff>
    </xdr:from>
    <xdr:to>
      <xdr:col>11</xdr:col>
      <xdr:colOff>692727</xdr:colOff>
      <xdr:row>30</xdr:row>
      <xdr:rowOff>75458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3F45959C-9144-4D63-AD05-15575FF43EE0}"/>
            </a:ext>
          </a:extLst>
        </xdr:cNvPr>
        <xdr:cNvSpPr/>
      </xdr:nvSpPr>
      <xdr:spPr>
        <a:xfrm>
          <a:off x="2578246" y="2551958"/>
          <a:ext cx="6496481" cy="3238500"/>
        </a:xfrm>
        <a:prstGeom prst="roundRect">
          <a:avLst/>
        </a:prstGeom>
        <a:solidFill>
          <a:schemeClr val="bg1">
            <a:lumMod val="50000"/>
          </a:schemeClr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327962</xdr:colOff>
      <xdr:row>2</xdr:row>
      <xdr:rowOff>150451</xdr:rowOff>
    </xdr:from>
    <xdr:to>
      <xdr:col>19</xdr:col>
      <xdr:colOff>270812</xdr:colOff>
      <xdr:row>7</xdr:row>
      <xdr:rowOff>177064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FBAFA778-544D-46CB-9969-9F63BD029D8C}"/>
            </a:ext>
          </a:extLst>
        </xdr:cNvPr>
        <xdr:cNvSpPr/>
      </xdr:nvSpPr>
      <xdr:spPr>
        <a:xfrm>
          <a:off x="4137962" y="531451"/>
          <a:ext cx="10610850" cy="979113"/>
        </a:xfrm>
        <a:prstGeom prst="roundRect">
          <a:avLst/>
        </a:prstGeom>
        <a:solidFill>
          <a:schemeClr val="bg1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678658</xdr:colOff>
      <xdr:row>3</xdr:row>
      <xdr:rowOff>168852</xdr:rowOff>
    </xdr:from>
    <xdr:to>
      <xdr:col>14</xdr:col>
      <xdr:colOff>702470</xdr:colOff>
      <xdr:row>6</xdr:row>
      <xdr:rowOff>133693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51CB03-3B8D-45F0-9305-DCAEE3F9C8F1}"/>
            </a:ext>
          </a:extLst>
        </xdr:cNvPr>
        <xdr:cNvSpPr txBox="1"/>
      </xdr:nvSpPr>
      <xdr:spPr>
        <a:xfrm>
          <a:off x="8298658" y="740352"/>
          <a:ext cx="3071812" cy="536341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 b="1">
              <a:solidFill>
                <a:schemeClr val="bg1"/>
              </a:solidFill>
              <a:latin typeface="+mn-lt"/>
            </a:rPr>
            <a:t>TABLEAU</a:t>
          </a:r>
          <a:r>
            <a:rPr lang="fr-FR" sz="2800" b="1" baseline="0">
              <a:solidFill>
                <a:schemeClr val="bg1"/>
              </a:solidFill>
              <a:latin typeface="+mn-lt"/>
            </a:rPr>
            <a:t> DE BORD</a:t>
          </a:r>
          <a:endParaRPr lang="fr-FR" sz="28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</xdr:col>
      <xdr:colOff>397081</xdr:colOff>
      <xdr:row>13</xdr:row>
      <xdr:rowOff>121227</xdr:rowOff>
    </xdr:from>
    <xdr:to>
      <xdr:col>11</xdr:col>
      <xdr:colOff>571500</xdr:colOff>
      <xdr:row>30</xdr:row>
      <xdr:rowOff>84117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20A9257-4E85-4987-AC22-8A08E447D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640772</xdr:colOff>
      <xdr:row>13</xdr:row>
      <xdr:rowOff>47471</xdr:rowOff>
    </xdr:from>
    <xdr:to>
      <xdr:col>21</xdr:col>
      <xdr:colOff>225135</xdr:colOff>
      <xdr:row>30</xdr:row>
      <xdr:rowOff>51955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E91F8E00-A94A-4272-B8EF-51FB3DF9AA28}"/>
            </a:ext>
          </a:extLst>
        </xdr:cNvPr>
        <xdr:cNvSpPr/>
      </xdr:nvSpPr>
      <xdr:spPr>
        <a:xfrm>
          <a:off x="9784772" y="2523971"/>
          <a:ext cx="6442363" cy="3242984"/>
        </a:xfrm>
        <a:prstGeom prst="roundRect">
          <a:avLst/>
        </a:prstGeom>
        <a:solidFill>
          <a:schemeClr val="bg1">
            <a:lumMod val="50000"/>
          </a:schemeClr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103909</xdr:colOff>
      <xdr:row>13</xdr:row>
      <xdr:rowOff>34636</xdr:rowOff>
    </xdr:from>
    <xdr:to>
      <xdr:col>20</xdr:col>
      <xdr:colOff>744682</xdr:colOff>
      <xdr:row>29</xdr:row>
      <xdr:rowOff>121227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1A67D71-8371-419F-A081-8E9F8AFD1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293735</xdr:colOff>
      <xdr:row>33</xdr:row>
      <xdr:rowOff>107070</xdr:rowOff>
    </xdr:from>
    <xdr:to>
      <xdr:col>8</xdr:col>
      <xdr:colOff>207818</xdr:colOff>
      <xdr:row>37</xdr:row>
      <xdr:rowOff>155864</xdr:rowOff>
    </xdr:to>
    <xdr:sp macro="" textlink="Notes!$V$5">
      <xdr:nvSpPr>
        <xdr:cNvPr id="14" name="ABI_S1">
          <a:extLst>
            <a:ext uri="{FF2B5EF4-FFF2-40B4-BE49-F238E27FC236}">
              <a16:creationId xmlns:a16="http://schemas.microsoft.com/office/drawing/2014/main" id="{B9D4F05D-8750-4111-9609-FA6BD0462A36}"/>
            </a:ext>
          </a:extLst>
        </xdr:cNvPr>
        <xdr:cNvSpPr/>
      </xdr:nvSpPr>
      <xdr:spPr>
        <a:xfrm>
          <a:off x="2579735" y="6393570"/>
          <a:ext cx="3724083" cy="810794"/>
        </a:xfrm>
        <a:prstGeom prst="roundRect">
          <a:avLst/>
        </a:prstGeom>
        <a:solidFill>
          <a:schemeClr val="bg1">
            <a:lumMod val="50000"/>
          </a:schemeClr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fld id="{B51C4107-9DDA-4E17-A3BF-05BC74CAE4F5}" type="TxLink">
            <a:rPr lang="en-US" sz="1800" b="0" i="0" u="none" strike="noStrike">
              <a:solidFill>
                <a:schemeClr val="tx1"/>
              </a:solidFill>
              <a:latin typeface="Calibri"/>
              <a:cs typeface="Calibri"/>
            </a:rPr>
            <a:pPr algn="l"/>
            <a:t>0</a:t>
          </a:fld>
          <a:endParaRPr lang="fr-FR" sz="18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306634</xdr:colOff>
      <xdr:row>38</xdr:row>
      <xdr:rowOff>124283</xdr:rowOff>
    </xdr:from>
    <xdr:to>
      <xdr:col>8</xdr:col>
      <xdr:colOff>190499</xdr:colOff>
      <xdr:row>43</xdr:row>
      <xdr:rowOff>69272</xdr:rowOff>
    </xdr:to>
    <xdr:sp macro="" textlink="Notes!$V$6">
      <xdr:nvSpPr>
        <xdr:cNvPr id="16" name="ABI_S2">
          <a:extLst>
            <a:ext uri="{FF2B5EF4-FFF2-40B4-BE49-F238E27FC236}">
              <a16:creationId xmlns:a16="http://schemas.microsoft.com/office/drawing/2014/main" id="{A6CB171F-9C64-4558-9821-2850E1A99A6C}"/>
            </a:ext>
          </a:extLst>
        </xdr:cNvPr>
        <xdr:cNvSpPr/>
      </xdr:nvSpPr>
      <xdr:spPr>
        <a:xfrm>
          <a:off x="2592634" y="7363283"/>
          <a:ext cx="3693865" cy="897489"/>
        </a:xfrm>
        <a:prstGeom prst="roundRect">
          <a:avLst/>
        </a:prstGeom>
        <a:solidFill>
          <a:schemeClr val="bg1">
            <a:lumMod val="50000"/>
          </a:schemeClr>
        </a:solidFill>
        <a:ln w="19050">
          <a:solidFill>
            <a:schemeClr val="bg1"/>
          </a:solidFill>
        </a:ln>
        <a:effectLst>
          <a:glow>
            <a:schemeClr val="accent1"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fld id="{69D11CE0-ADF2-4F17-A686-D3FB53BB7987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</a:t>
          </a:fld>
          <a:endParaRPr lang="fr-FR" sz="1800"/>
        </a:p>
      </xdr:txBody>
    </xdr:sp>
    <xdr:clientData/>
  </xdr:twoCellAnchor>
  <xdr:twoCellAnchor>
    <xdr:from>
      <xdr:col>4</xdr:col>
      <xdr:colOff>258315</xdr:colOff>
      <xdr:row>33</xdr:row>
      <xdr:rowOff>92994</xdr:rowOff>
    </xdr:from>
    <xdr:to>
      <xdr:col>7</xdr:col>
      <xdr:colOff>652922</xdr:colOff>
      <xdr:row>35</xdr:row>
      <xdr:rowOff>161030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D124C556-72BB-F652-986A-C384EEFBC965}"/>
            </a:ext>
          </a:extLst>
        </xdr:cNvPr>
        <xdr:cNvSpPr txBox="1"/>
      </xdr:nvSpPr>
      <xdr:spPr>
        <a:xfrm>
          <a:off x="3306315" y="6379494"/>
          <a:ext cx="2680607" cy="449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>
              <a:solidFill>
                <a:schemeClr val="bg1"/>
              </a:solidFill>
            </a:rPr>
            <a:t>Nombre</a:t>
          </a:r>
          <a:r>
            <a:rPr lang="fr-FR" sz="1400" baseline="0">
              <a:solidFill>
                <a:schemeClr val="bg1"/>
              </a:solidFill>
            </a:rPr>
            <a:t> d'ABI au s</a:t>
          </a:r>
          <a:r>
            <a:rPr lang="fr-FR" sz="1400">
              <a:solidFill>
                <a:schemeClr val="bg1"/>
              </a:solidFill>
            </a:rPr>
            <a:t>emestre 1</a:t>
          </a:r>
        </a:p>
      </xdr:txBody>
    </xdr:sp>
    <xdr:clientData/>
  </xdr:twoCellAnchor>
  <xdr:twoCellAnchor>
    <xdr:from>
      <xdr:col>4</xdr:col>
      <xdr:colOff>271633</xdr:colOff>
      <xdr:row>38</xdr:row>
      <xdr:rowOff>119481</xdr:rowOff>
    </xdr:from>
    <xdr:to>
      <xdr:col>7</xdr:col>
      <xdr:colOff>339669</xdr:colOff>
      <xdr:row>40</xdr:row>
      <xdr:rowOff>187517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110C4D0F-11FF-47E2-BDAF-D66018D94971}"/>
            </a:ext>
          </a:extLst>
        </xdr:cNvPr>
        <xdr:cNvSpPr txBox="1"/>
      </xdr:nvSpPr>
      <xdr:spPr>
        <a:xfrm>
          <a:off x="3319633" y="7358481"/>
          <a:ext cx="2354036" cy="449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>
              <a:solidFill>
                <a:schemeClr val="bg1"/>
              </a:solidFill>
            </a:rPr>
            <a:t>Nombre d'ABI au semestre 2</a:t>
          </a:r>
        </a:p>
      </xdr:txBody>
    </xdr:sp>
    <xdr:clientData/>
  </xdr:twoCellAnchor>
  <xdr:twoCellAnchor>
    <xdr:from>
      <xdr:col>8</xdr:col>
      <xdr:colOff>745754</xdr:colOff>
      <xdr:row>33</xdr:row>
      <xdr:rowOff>121227</xdr:rowOff>
    </xdr:from>
    <xdr:to>
      <xdr:col>16</xdr:col>
      <xdr:colOff>585214</xdr:colOff>
      <xdr:row>43</xdr:row>
      <xdr:rowOff>94741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27DA69AC-05B1-40C1-88C0-B1632E9D4AB6}"/>
            </a:ext>
          </a:extLst>
        </xdr:cNvPr>
        <xdr:cNvSpPr/>
      </xdr:nvSpPr>
      <xdr:spPr>
        <a:xfrm>
          <a:off x="6841754" y="6407727"/>
          <a:ext cx="5935460" cy="1878514"/>
        </a:xfrm>
        <a:prstGeom prst="roundRect">
          <a:avLst/>
        </a:prstGeom>
        <a:solidFill>
          <a:schemeClr val="bg1">
            <a:lumMod val="50000"/>
          </a:schemeClr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710044</xdr:colOff>
      <xdr:row>33</xdr:row>
      <xdr:rowOff>10186</xdr:rowOff>
    </xdr:from>
    <xdr:to>
      <xdr:col>16</xdr:col>
      <xdr:colOff>26485</xdr:colOff>
      <xdr:row>46</xdr:row>
      <xdr:rowOff>103909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C126595-C9B5-4A84-976D-4304576683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484908</xdr:colOff>
      <xdr:row>33</xdr:row>
      <xdr:rowOff>103909</xdr:rowOff>
    </xdr:from>
    <xdr:to>
      <xdr:col>21</xdr:col>
      <xdr:colOff>225135</xdr:colOff>
      <xdr:row>43</xdr:row>
      <xdr:rowOff>86591</xdr:rowOff>
    </xdr:to>
    <xdr:sp macro="" textlink="Notes!U14">
      <xdr:nvSpPr>
        <xdr:cNvPr id="19" name="Rectangle : coins arrondis 18">
          <a:extLst>
            <a:ext uri="{FF2B5EF4-FFF2-40B4-BE49-F238E27FC236}">
              <a16:creationId xmlns:a16="http://schemas.microsoft.com/office/drawing/2014/main" id="{6EF30E9A-7937-443A-B5E3-E196963CB95F}"/>
            </a:ext>
          </a:extLst>
        </xdr:cNvPr>
        <xdr:cNvSpPr/>
      </xdr:nvSpPr>
      <xdr:spPr>
        <a:xfrm>
          <a:off x="13438908" y="6390409"/>
          <a:ext cx="2788227" cy="1887682"/>
        </a:xfrm>
        <a:prstGeom prst="roundRect">
          <a:avLst/>
        </a:prstGeom>
        <a:solidFill>
          <a:schemeClr val="bg1">
            <a:lumMod val="50000"/>
          </a:schemeClr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fld id="{F9A8011C-8A63-4341-B7C9-CA92FC02EBE4}" type="TxLink">
            <a:rPr lang="en-US" sz="28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Passe l'année</a:t>
          </a:fld>
          <a:endParaRPr lang="fr-FR" sz="2800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75000"/>
          </a:schemeClr>
        </a:solidFill>
        <a:ln w="19050">
          <a:solidFill>
            <a:schemeClr val="tx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4668B-3720-4E80-8AE6-9EC1F8574EB1}">
  <sheetPr codeName="Feuil1"/>
  <dimension ref="V9"/>
  <sheetViews>
    <sheetView showGridLines="0" showRowColHeaders="0" tabSelected="1" topLeftCell="A4" zoomScale="55" zoomScaleNormal="55" workbookViewId="0">
      <selection activeCell="C29" sqref="C29"/>
    </sheetView>
  </sheetViews>
  <sheetFormatPr baseColWidth="10" defaultRowHeight="15" x14ac:dyDescent="0.25"/>
  <sheetData>
    <row r="9" spans="22:22" x14ac:dyDescent="0.25">
      <c r="V9" t="s">
        <v>48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CC2-141C-4FE1-B006-3AFC8D562791}">
  <sheetPr codeName="Feuil2"/>
  <dimension ref="A1:X46"/>
  <sheetViews>
    <sheetView showGridLines="0" topLeftCell="A22" zoomScale="85" zoomScaleNormal="85" workbookViewId="0">
      <selection activeCell="D35" sqref="D35"/>
    </sheetView>
  </sheetViews>
  <sheetFormatPr baseColWidth="10" defaultRowHeight="15" x14ac:dyDescent="0.25"/>
  <cols>
    <col min="1" max="1" width="22.140625" customWidth="1"/>
    <col min="2" max="2" width="81.42578125" customWidth="1"/>
    <col min="3" max="3" width="12.7109375" bestFit="1" customWidth="1"/>
    <col min="9" max="9" width="11.85546875" customWidth="1"/>
    <col min="10" max="10" width="12.140625" customWidth="1"/>
    <col min="11" max="11" width="10.85546875" customWidth="1"/>
    <col min="12" max="12" width="9.5703125" customWidth="1"/>
    <col min="13" max="13" width="25" bestFit="1" customWidth="1"/>
    <col min="14" max="14" width="41.85546875" bestFit="1" customWidth="1"/>
    <col min="15" max="15" width="35.140625" bestFit="1" customWidth="1"/>
    <col min="17" max="17" width="11.28515625" bestFit="1" customWidth="1"/>
    <col min="18" max="18" width="17.85546875" bestFit="1" customWidth="1"/>
    <col min="20" max="20" width="3" customWidth="1"/>
    <col min="21" max="21" width="20.28515625" bestFit="1" customWidth="1"/>
    <col min="22" max="22" width="14.140625" bestFit="1" customWidth="1"/>
    <col min="23" max="23" width="23.85546875" bestFit="1" customWidth="1"/>
    <col min="24" max="24" width="18" bestFit="1" customWidth="1"/>
  </cols>
  <sheetData>
    <row r="1" spans="1:24" ht="16.5" thickBot="1" x14ac:dyDescent="0.3">
      <c r="A1" s="72" t="s">
        <v>0</v>
      </c>
      <c r="B1" s="73"/>
      <c r="C1" s="50" t="s">
        <v>42</v>
      </c>
      <c r="D1" s="74" t="s">
        <v>35</v>
      </c>
      <c r="E1" s="75"/>
      <c r="F1" s="75"/>
      <c r="G1" s="75"/>
      <c r="H1" s="75"/>
      <c r="I1" s="75"/>
      <c r="J1" s="75"/>
      <c r="K1" s="76"/>
      <c r="L1" s="48" t="s">
        <v>44</v>
      </c>
      <c r="M1" s="48" t="s">
        <v>40</v>
      </c>
      <c r="N1" s="48" t="s">
        <v>39</v>
      </c>
      <c r="O1" s="48" t="s">
        <v>41</v>
      </c>
      <c r="Q1" s="27"/>
      <c r="R1" s="48" t="s">
        <v>47</v>
      </c>
      <c r="S1" s="55" t="s">
        <v>43</v>
      </c>
      <c r="U1" s="27"/>
      <c r="V1" s="27" t="s">
        <v>36</v>
      </c>
      <c r="W1" s="27" t="s">
        <v>37</v>
      </c>
      <c r="X1" s="27" t="s">
        <v>38</v>
      </c>
    </row>
    <row r="2" spans="1:24" ht="15" customHeight="1" thickBot="1" x14ac:dyDescent="0.3">
      <c r="A2" s="67" t="s">
        <v>36</v>
      </c>
      <c r="B2" s="9" t="s">
        <v>1</v>
      </c>
      <c r="C2" s="12">
        <v>15</v>
      </c>
      <c r="D2" s="40">
        <v>12</v>
      </c>
      <c r="E2" s="40"/>
      <c r="F2" s="13"/>
      <c r="G2" s="40"/>
      <c r="H2" s="41"/>
      <c r="I2" s="40"/>
      <c r="J2" s="40"/>
      <c r="K2" s="41"/>
      <c r="L2" s="57">
        <f>IFERROR(AVERAGE(D2:K2),"")</f>
        <v>12</v>
      </c>
      <c r="M2" s="84" cm="1">
        <f t="array" ref="M2">IFERROR(SUMPRODUCT(C2:C7,L2:L7)/SUMPRODUCT(C2:C7,--(L2:L7&lt;&gt;"")),"aucune valeur")</f>
        <v>13.733333333333333</v>
      </c>
      <c r="N2" s="83" t="str">
        <f>IF(OR(M2&lt;8,COUNTIF(D2:K7,"abi")&gt;0),"Bloque l'année",IF(M2&lt;10,"Attention, moyenne de compétence sous 10","Bloc validé"))</f>
        <v>Bloc validé</v>
      </c>
      <c r="O2" s="32"/>
      <c r="Q2" s="56" t="s">
        <v>0</v>
      </c>
      <c r="R2" s="59">
        <v>4</v>
      </c>
      <c r="S2" s="54">
        <f>IF(R2-5&gt;0,0.2*(R2-5),0)</f>
        <v>0</v>
      </c>
      <c r="U2" s="27" t="s">
        <v>0</v>
      </c>
      <c r="V2" s="63">
        <f>M2</f>
        <v>13.733333333333333</v>
      </c>
      <c r="W2" s="63">
        <f>M8</f>
        <v>13.625</v>
      </c>
      <c r="X2" s="63">
        <f>M13</f>
        <v>16.991764705882353</v>
      </c>
    </row>
    <row r="3" spans="1:24" ht="15.75" thickBot="1" x14ac:dyDescent="0.3">
      <c r="A3" s="67"/>
      <c r="B3" s="8" t="s">
        <v>2</v>
      </c>
      <c r="C3" s="5">
        <v>20</v>
      </c>
      <c r="D3" s="43">
        <v>17</v>
      </c>
      <c r="E3">
        <v>14.5</v>
      </c>
      <c r="F3" s="3"/>
      <c r="G3" s="43"/>
      <c r="H3" s="44"/>
      <c r="I3" s="43"/>
      <c r="J3" s="43"/>
      <c r="K3" s="44"/>
      <c r="L3" s="57">
        <f>IFERROR(AVERAGE(D3:K3),"")</f>
        <v>15.75</v>
      </c>
      <c r="M3" s="84"/>
      <c r="N3" s="70"/>
      <c r="O3" s="37"/>
      <c r="Q3" s="27" t="s">
        <v>17</v>
      </c>
      <c r="R3" s="54">
        <v>6</v>
      </c>
      <c r="S3" s="54">
        <f>IF(R3-5&gt;0,0.2*(R3-5),0)</f>
        <v>0.2</v>
      </c>
      <c r="U3" s="60" t="s">
        <v>17</v>
      </c>
      <c r="V3" s="63" t="str">
        <f>M22</f>
        <v>aucune valeur</v>
      </c>
      <c r="W3" s="61">
        <f>M29</f>
        <v>9.9642857142857135</v>
      </c>
      <c r="X3" s="63" t="str">
        <f>M39</f>
        <v>aucune valeur</v>
      </c>
    </row>
    <row r="4" spans="1:24" ht="15.75" thickBot="1" x14ac:dyDescent="0.3">
      <c r="A4" s="67"/>
      <c r="B4" s="8" t="s">
        <v>3</v>
      </c>
      <c r="C4" s="5">
        <v>20</v>
      </c>
      <c r="D4" s="43">
        <v>11</v>
      </c>
      <c r="E4" s="43">
        <v>11.5</v>
      </c>
      <c r="F4" s="3">
        <v>8</v>
      </c>
      <c r="G4" s="43"/>
      <c r="H4" s="44"/>
      <c r="I4" s="43"/>
      <c r="J4" s="43"/>
      <c r="K4" s="44"/>
      <c r="L4" s="57">
        <f>IFERROR(AVERAGE(D4:K4),"")</f>
        <v>10.166666666666666</v>
      </c>
      <c r="M4" s="84"/>
      <c r="N4" s="70"/>
      <c r="O4" s="33"/>
      <c r="U4" s="27" t="s">
        <v>54</v>
      </c>
      <c r="V4" s="65">
        <f>AVERAGE(V2:V3)</f>
        <v>13.733333333333333</v>
      </c>
      <c r="W4" s="65">
        <f t="shared" ref="W4:X4" si="0">AVERAGE(W2:W3)</f>
        <v>11.794642857142858</v>
      </c>
      <c r="X4" s="65">
        <f t="shared" si="0"/>
        <v>16.991764705882353</v>
      </c>
    </row>
    <row r="5" spans="1:24" ht="15.75" thickBot="1" x14ac:dyDescent="0.3">
      <c r="A5" s="67"/>
      <c r="B5" s="8" t="s">
        <v>11</v>
      </c>
      <c r="C5" s="5">
        <v>30</v>
      </c>
      <c r="D5" s="43">
        <v>15</v>
      </c>
      <c r="E5" s="43"/>
      <c r="G5" s="43"/>
      <c r="H5" s="44"/>
      <c r="I5" s="43"/>
      <c r="J5" s="43"/>
      <c r="K5" s="44"/>
      <c r="L5" s="57">
        <f>IFERROR(AVERAGE(D5:K5),"")</f>
        <v>15</v>
      </c>
      <c r="M5" s="84"/>
      <c r="N5" s="70"/>
      <c r="O5" s="33"/>
      <c r="U5" s="27" t="s">
        <v>49</v>
      </c>
      <c r="V5" s="62">
        <f>COUNTIF(D2:K19, "ABI")</f>
        <v>0</v>
      </c>
    </row>
    <row r="6" spans="1:24" ht="15.75" thickBot="1" x14ac:dyDescent="0.3">
      <c r="A6" s="67"/>
      <c r="B6" s="9" t="s">
        <v>12</v>
      </c>
      <c r="C6" s="5">
        <v>10</v>
      </c>
      <c r="D6" s="43">
        <v>15</v>
      </c>
      <c r="E6" s="43"/>
      <c r="F6" s="43"/>
      <c r="H6" s="44"/>
      <c r="I6" s="43"/>
      <c r="J6" s="43"/>
      <c r="K6" s="44"/>
      <c r="L6" s="57">
        <f>IFERROR(AVERAGE(D6:K6),"")</f>
        <v>15</v>
      </c>
      <c r="M6" s="84"/>
      <c r="N6" s="70"/>
      <c r="O6" s="33"/>
      <c r="U6" s="27" t="s">
        <v>50</v>
      </c>
      <c r="V6" s="54">
        <f>COUNTIF(D22:K46,"ABI")</f>
        <v>0</v>
      </c>
    </row>
    <row r="7" spans="1:24" ht="15.75" thickBot="1" x14ac:dyDescent="0.3">
      <c r="A7" s="68"/>
      <c r="B7" s="28" t="s">
        <v>10</v>
      </c>
      <c r="C7" s="7">
        <v>5</v>
      </c>
      <c r="D7" s="45">
        <v>18</v>
      </c>
      <c r="E7" s="46">
        <v>12</v>
      </c>
      <c r="F7" s="46"/>
      <c r="G7" s="46"/>
      <c r="H7" s="47"/>
      <c r="I7" s="46"/>
      <c r="J7" s="46"/>
      <c r="K7" s="47"/>
      <c r="L7" s="57">
        <f t="shared" ref="L7:L46" si="1">IFERROR(AVERAGE(D7:K7),"")</f>
        <v>15</v>
      </c>
      <c r="M7" s="85"/>
      <c r="N7" s="70"/>
      <c r="O7" s="33" t="s">
        <v>45</v>
      </c>
    </row>
    <row r="8" spans="1:24" ht="15.75" thickBot="1" x14ac:dyDescent="0.3">
      <c r="A8" s="66" t="s">
        <v>37</v>
      </c>
      <c r="B8" s="10" t="s">
        <v>4</v>
      </c>
      <c r="C8" s="12">
        <v>20</v>
      </c>
      <c r="D8" s="39">
        <v>12.75</v>
      </c>
      <c r="E8" s="40">
        <v>19</v>
      </c>
      <c r="F8" s="40"/>
      <c r="G8" s="40"/>
      <c r="H8" s="41"/>
      <c r="I8" s="40"/>
      <c r="J8" s="40"/>
      <c r="K8" s="41"/>
      <c r="L8" s="57">
        <f t="shared" si="1"/>
        <v>15.875</v>
      </c>
      <c r="M8" s="84" cm="1">
        <f t="array" ref="M8">IFERROR(IF(COUNTIF(D8:K12,"abi")&gt;0,"Moyenne bloquée",SUMPRODUCT(C8:C12*(COUNT(D8:K12)&gt;0)*AVERAGEIF(D8:K12,"&gt;=0"))/SUM(C8:C12*(COUNT(D8:K12)&gt;0))),"Aucune valeur")</f>
        <v>13.625</v>
      </c>
      <c r="N8" s="83" t="str">
        <f>IF(OR(M8&lt;8,COUNTIF(D8:K12,"abi")&gt;0),"Bloque l'année",IF(M8&lt;10,"Attention, moyenne de compétence sous 10","Bloc validé"))</f>
        <v>Bloc validé</v>
      </c>
      <c r="O8" s="37">
        <f>IFERROR(IF((AVERAGE(M2:M19)-S2)&gt;0,AVERAGE(M2:M19)-S2,0), "Aucun résultat semestre")</f>
        <v>14.783366013071896</v>
      </c>
      <c r="U8" s="27"/>
      <c r="V8" s="27" t="s">
        <v>0</v>
      </c>
      <c r="W8" s="27" t="s">
        <v>17</v>
      </c>
    </row>
    <row r="9" spans="1:24" ht="15" customHeight="1" thickBot="1" x14ac:dyDescent="0.3">
      <c r="A9" s="67"/>
      <c r="B9" s="10" t="s">
        <v>5</v>
      </c>
      <c r="C9" s="5">
        <v>15</v>
      </c>
      <c r="D9" s="42">
        <v>10</v>
      </c>
      <c r="E9" s="43">
        <v>12</v>
      </c>
      <c r="F9" s="43"/>
      <c r="G9" s="43"/>
      <c r="H9" s="44"/>
      <c r="I9" s="43"/>
      <c r="J9" s="43"/>
      <c r="K9" s="44"/>
      <c r="L9" s="57">
        <f t="shared" si="1"/>
        <v>11</v>
      </c>
      <c r="M9" s="84"/>
      <c r="N9" s="70"/>
      <c r="O9" s="37"/>
      <c r="U9" s="27" t="s">
        <v>51</v>
      </c>
      <c r="V9" s="54">
        <f>MIN(D2:K19)</f>
        <v>8</v>
      </c>
      <c r="W9" s="62">
        <f>MIN(D22:K46)</f>
        <v>7</v>
      </c>
    </row>
    <row r="10" spans="1:24" ht="15.75" thickBot="1" x14ac:dyDescent="0.3">
      <c r="A10" s="67"/>
      <c r="B10" s="10" t="s">
        <v>6</v>
      </c>
      <c r="C10" s="5">
        <v>20</v>
      </c>
      <c r="D10" s="44">
        <v>14</v>
      </c>
      <c r="E10" s="43">
        <v>9.5</v>
      </c>
      <c r="F10" s="43">
        <v>13</v>
      </c>
      <c r="G10" s="43"/>
      <c r="I10" s="43"/>
      <c r="J10" s="43"/>
      <c r="K10" s="44"/>
      <c r="L10" s="57">
        <f>IFERROR(AVERAGE(D10:K10),"")</f>
        <v>12.166666666666666</v>
      </c>
      <c r="M10" s="84"/>
      <c r="N10" s="70"/>
      <c r="O10" s="33"/>
      <c r="U10" s="27" t="s">
        <v>52</v>
      </c>
      <c r="V10" s="54">
        <f>MAX(D2:K19)</f>
        <v>20</v>
      </c>
      <c r="W10" s="54">
        <f>MAX(D22:K46)</f>
        <v>14</v>
      </c>
    </row>
    <row r="11" spans="1:24" ht="30.75" thickBot="1" x14ac:dyDescent="0.3">
      <c r="A11" s="67"/>
      <c r="B11" s="10" t="s">
        <v>13</v>
      </c>
      <c r="C11" s="5">
        <v>40</v>
      </c>
      <c r="D11" s="42">
        <v>16</v>
      </c>
      <c r="E11" s="43"/>
      <c r="F11" s="43"/>
      <c r="G11" s="43"/>
      <c r="H11" s="44"/>
      <c r="I11" s="43"/>
      <c r="J11" s="43"/>
      <c r="K11" s="44"/>
      <c r="L11" s="57">
        <f t="shared" si="1"/>
        <v>16</v>
      </c>
      <c r="M11" s="84"/>
      <c r="N11" s="70"/>
      <c r="O11" s="33"/>
      <c r="U11" s="27" t="s">
        <v>44</v>
      </c>
      <c r="V11" s="65">
        <f>O8</f>
        <v>14.783366013071896</v>
      </c>
      <c r="W11" s="64">
        <f>O29</f>
        <v>9.7642857142857142</v>
      </c>
    </row>
    <row r="12" spans="1:24" ht="15.75" thickBot="1" x14ac:dyDescent="0.3">
      <c r="A12" s="68"/>
      <c r="B12" s="28" t="s">
        <v>10</v>
      </c>
      <c r="C12" s="7">
        <v>5</v>
      </c>
      <c r="D12" s="45">
        <v>18</v>
      </c>
      <c r="E12" s="46">
        <v>12</v>
      </c>
      <c r="F12" s="46"/>
      <c r="G12" s="46"/>
      <c r="H12" s="47"/>
      <c r="I12" s="46"/>
      <c r="J12" s="46"/>
      <c r="K12" s="47"/>
      <c r="L12" s="57">
        <f t="shared" si="1"/>
        <v>15</v>
      </c>
      <c r="M12" s="85"/>
      <c r="N12" s="71"/>
      <c r="O12" s="33" t="s">
        <v>46</v>
      </c>
    </row>
    <row r="13" spans="1:24" ht="15.75" thickBot="1" x14ac:dyDescent="0.3">
      <c r="A13" s="66" t="s">
        <v>38</v>
      </c>
      <c r="B13" s="11" t="s">
        <v>14</v>
      </c>
      <c r="C13" s="12">
        <v>15</v>
      </c>
      <c r="D13" s="39"/>
      <c r="E13" s="40"/>
      <c r="F13" s="40"/>
      <c r="G13" s="40"/>
      <c r="H13" s="41"/>
      <c r="I13" s="40"/>
      <c r="J13" s="40"/>
      <c r="K13" s="41"/>
      <c r="L13" s="57" t="str">
        <f t="shared" si="1"/>
        <v/>
      </c>
      <c r="M13" s="84" cm="1">
        <f t="array" ref="M13">IFERROR(SUMPRODUCT(C13:C19,L13:L19)/SUMPRODUCT(C13:C19,--(L13:L19&lt;&gt;"")),"aucune valeur")</f>
        <v>16.991764705882353</v>
      </c>
      <c r="N13" s="83" t="str">
        <f>IF(OR(M13&lt;8,COUNTIF(D13:K19,"abi")&gt;0),"Bloque l'année",IF(M13&lt;10,"Attention, moyenne de compétence sous 10","Bloc validé"))</f>
        <v>Bloc validé</v>
      </c>
      <c r="O13" s="33" t="str">
        <f>IF( AND( O8&gt;=10, COUNTIF(N2:N19,"Bloque l'année")&lt;1),"validé", "non validé")</f>
        <v>validé</v>
      </c>
      <c r="U13" s="27" t="s">
        <v>53</v>
      </c>
    </row>
    <row r="14" spans="1:24" ht="15.75" thickBot="1" x14ac:dyDescent="0.3">
      <c r="A14" s="67"/>
      <c r="B14" s="11" t="s">
        <v>15</v>
      </c>
      <c r="C14" s="5">
        <v>10</v>
      </c>
      <c r="D14" s="42">
        <v>15.25</v>
      </c>
      <c r="E14" s="43"/>
      <c r="F14" s="43"/>
      <c r="G14" s="43"/>
      <c r="H14" s="44"/>
      <c r="I14" s="43"/>
      <c r="J14" s="43"/>
      <c r="K14" s="44"/>
      <c r="L14" s="57">
        <f t="shared" si="1"/>
        <v>15.25</v>
      </c>
      <c r="M14" s="84"/>
      <c r="N14" s="70"/>
      <c r="O14" s="33"/>
      <c r="U14" s="54" t="str">
        <f>IF(SUM(V5:V6)&gt;0,"Ne passe pas à cause d'ABI",IF(COUNTIF(V4:X4,"&lt;" &amp; 8) &gt;0, "Ne passe pas l'année",IF(COUNTIF(V4:X4,"&gt;" &amp; 10)&lt;2,"Ne passe pas l'année","Passe l'année")))</f>
        <v>Passe l'année</v>
      </c>
    </row>
    <row r="15" spans="1:24" ht="15.75" customHeight="1" thickBot="1" x14ac:dyDescent="0.3">
      <c r="A15" s="67"/>
      <c r="B15" s="11" t="s">
        <v>16</v>
      </c>
      <c r="C15" s="5">
        <v>15</v>
      </c>
      <c r="D15" s="42">
        <v>17</v>
      </c>
      <c r="E15" s="43"/>
      <c r="F15" s="43"/>
      <c r="G15" s="43"/>
      <c r="H15" s="44"/>
      <c r="I15" s="43"/>
      <c r="J15" s="43"/>
      <c r="K15" s="44"/>
      <c r="L15" s="57">
        <f t="shared" si="1"/>
        <v>17</v>
      </c>
      <c r="M15" s="84"/>
      <c r="N15" s="70"/>
      <c r="O15" s="33"/>
    </row>
    <row r="16" spans="1:24" ht="15.75" thickBot="1" x14ac:dyDescent="0.3">
      <c r="A16" s="67"/>
      <c r="B16" s="11" t="s">
        <v>7</v>
      </c>
      <c r="C16" s="5">
        <v>15</v>
      </c>
      <c r="D16" s="44">
        <v>20</v>
      </c>
      <c r="E16" s="43">
        <v>17.5</v>
      </c>
      <c r="F16" s="43">
        <v>17</v>
      </c>
      <c r="G16" s="43">
        <v>14.12</v>
      </c>
      <c r="I16" s="43"/>
      <c r="J16" s="43"/>
      <c r="K16" s="44"/>
      <c r="L16" s="57">
        <f>IFERROR(AVERAGE(D16:K16),"")</f>
        <v>17.155000000000001</v>
      </c>
      <c r="M16" s="84"/>
      <c r="N16" s="70"/>
      <c r="O16" s="33"/>
    </row>
    <row r="17" spans="1:15" ht="15.75" customHeight="1" thickBot="1" x14ac:dyDescent="0.3">
      <c r="A17" s="67"/>
      <c r="B17" s="11" t="s">
        <v>8</v>
      </c>
      <c r="C17" s="5">
        <v>15</v>
      </c>
      <c r="D17" s="42">
        <v>17</v>
      </c>
      <c r="E17" s="43">
        <v>11.93</v>
      </c>
      <c r="F17" s="43"/>
      <c r="G17" s="43"/>
      <c r="H17" s="44"/>
      <c r="I17" s="43"/>
      <c r="J17" s="43"/>
      <c r="K17" s="44"/>
      <c r="L17" s="57">
        <f t="shared" si="1"/>
        <v>14.465</v>
      </c>
      <c r="M17" s="84"/>
      <c r="N17" s="70"/>
      <c r="O17" s="33"/>
    </row>
    <row r="18" spans="1:15" ht="15.75" thickBot="1" x14ac:dyDescent="0.3">
      <c r="A18" s="67"/>
      <c r="B18" s="11" t="s">
        <v>9</v>
      </c>
      <c r="C18" s="5">
        <v>25</v>
      </c>
      <c r="D18" s="42">
        <v>19.5</v>
      </c>
      <c r="E18" s="43"/>
      <c r="F18" s="43"/>
      <c r="G18" s="43"/>
      <c r="H18" s="44"/>
      <c r="I18" s="43"/>
      <c r="J18" s="43"/>
      <c r="K18" s="44"/>
      <c r="L18" s="57">
        <f t="shared" si="1"/>
        <v>19.5</v>
      </c>
      <c r="M18" s="84"/>
      <c r="N18" s="70"/>
      <c r="O18" s="33"/>
    </row>
    <row r="19" spans="1:15" ht="15.75" thickBot="1" x14ac:dyDescent="0.3">
      <c r="A19" s="68"/>
      <c r="B19" s="28" t="s">
        <v>10</v>
      </c>
      <c r="C19" s="7">
        <v>5</v>
      </c>
      <c r="D19" s="45">
        <v>18</v>
      </c>
      <c r="E19" s="46">
        <v>12</v>
      </c>
      <c r="F19" s="46"/>
      <c r="G19" s="46"/>
      <c r="H19" s="47"/>
      <c r="I19" s="46"/>
      <c r="J19" s="46"/>
      <c r="K19" s="47"/>
      <c r="L19" s="58">
        <f t="shared" si="1"/>
        <v>15</v>
      </c>
      <c r="M19" s="85"/>
      <c r="N19" s="71"/>
      <c r="O19" s="34"/>
    </row>
    <row r="20" spans="1:15" ht="15.75" thickBot="1" x14ac:dyDescent="0.3">
      <c r="A20" s="2"/>
      <c r="L20" s="51"/>
    </row>
    <row r="21" spans="1:15" ht="16.5" thickBot="1" x14ac:dyDescent="0.3">
      <c r="A21" s="72" t="s">
        <v>17</v>
      </c>
      <c r="B21" s="73"/>
      <c r="C21" s="31"/>
      <c r="D21" s="77"/>
      <c r="E21" s="78"/>
      <c r="F21" s="78"/>
      <c r="G21" s="78"/>
      <c r="H21" s="78"/>
      <c r="I21" s="78"/>
      <c r="J21" s="78"/>
      <c r="K21" s="79"/>
      <c r="L21" s="53" t="str">
        <f t="shared" si="1"/>
        <v/>
      </c>
      <c r="M21" s="27"/>
      <c r="N21" s="27"/>
      <c r="O21" s="27"/>
    </row>
    <row r="22" spans="1:15" ht="15.75" thickBot="1" x14ac:dyDescent="0.3">
      <c r="A22" s="66" t="s">
        <v>36</v>
      </c>
      <c r="B22" s="14" t="s">
        <v>18</v>
      </c>
      <c r="C22" s="4">
        <v>15</v>
      </c>
      <c r="D22" s="35"/>
      <c r="E22" s="13"/>
      <c r="F22" s="13"/>
      <c r="G22" s="13"/>
      <c r="H22" s="18"/>
      <c r="I22" s="13"/>
      <c r="J22" s="13"/>
      <c r="K22" s="18"/>
      <c r="L22" s="38" t="str">
        <f t="shared" si="1"/>
        <v/>
      </c>
      <c r="M22" s="80" t="str" cm="1">
        <f t="array" ref="M22">IFERROR(SUMPRODUCT(C22:C28,L22:L28)/SUMPRODUCT(C22:C28,--(L22:L28&lt;&gt;"")),"aucune valeur")</f>
        <v>aucune valeur</v>
      </c>
      <c r="N22" s="83" t="str">
        <f>IF(OR(M22&lt;8,COUNTIF(D22:K28,"abi")&gt;0),"Bloque l'année",IF(M22&lt;10,"Attention, moyenne de compétence sous 10","Bloc validé"))</f>
        <v>Bloc validé</v>
      </c>
      <c r="O22" s="32"/>
    </row>
    <row r="23" spans="1:15" ht="15.75" thickBot="1" x14ac:dyDescent="0.3">
      <c r="A23" s="67"/>
      <c r="B23" s="14" t="s">
        <v>19</v>
      </c>
      <c r="C23" s="5">
        <v>15</v>
      </c>
      <c r="E23" s="3"/>
      <c r="F23" s="3"/>
      <c r="G23" s="3"/>
      <c r="H23" s="19"/>
      <c r="I23" s="3"/>
      <c r="J23" s="3"/>
      <c r="K23" s="19"/>
      <c r="L23" s="38" t="str">
        <f>IFERROR(AVERAGE(D23:K23),"")</f>
        <v/>
      </c>
      <c r="M23" s="81"/>
      <c r="N23" s="70"/>
      <c r="O23" s="33"/>
    </row>
    <row r="24" spans="1:15" ht="15.75" thickBot="1" x14ac:dyDescent="0.3">
      <c r="A24" s="67"/>
      <c r="B24" s="14" t="s">
        <v>28</v>
      </c>
      <c r="C24" s="5">
        <v>10</v>
      </c>
      <c r="D24" s="3"/>
      <c r="E24" s="3"/>
      <c r="G24" s="3"/>
      <c r="H24" s="19"/>
      <c r="I24" s="3"/>
      <c r="J24" s="3"/>
      <c r="K24" s="19"/>
      <c r="L24" s="38" t="str">
        <f>IFERROR(AVERAGE(D24:K24),"")</f>
        <v/>
      </c>
      <c r="M24" s="81"/>
      <c r="N24" s="70"/>
      <c r="O24" s="33"/>
    </row>
    <row r="25" spans="1:15" ht="15.75" thickBot="1" x14ac:dyDescent="0.3">
      <c r="A25" s="67"/>
      <c r="B25" s="29" t="s">
        <v>27</v>
      </c>
      <c r="C25" s="6">
        <v>5</v>
      </c>
      <c r="D25" s="25"/>
      <c r="F25" s="3"/>
      <c r="G25" s="3"/>
      <c r="H25" s="19"/>
      <c r="I25" s="3"/>
      <c r="J25" s="3"/>
      <c r="K25" s="19"/>
      <c r="L25" s="38" t="str">
        <f t="shared" si="1"/>
        <v/>
      </c>
      <c r="M25" s="81"/>
      <c r="N25" s="70"/>
      <c r="O25" s="33"/>
    </row>
    <row r="26" spans="1:15" ht="15.75" thickBot="1" x14ac:dyDescent="0.3">
      <c r="A26" s="67"/>
      <c r="B26" s="30" t="s">
        <v>32</v>
      </c>
      <c r="C26" s="6">
        <v>5</v>
      </c>
      <c r="D26" s="25"/>
      <c r="E26" s="3"/>
      <c r="F26" s="3"/>
      <c r="G26" s="3"/>
      <c r="H26" s="19"/>
      <c r="I26" s="3"/>
      <c r="J26" s="3"/>
      <c r="K26" s="19"/>
      <c r="L26" s="38" t="str">
        <f t="shared" si="1"/>
        <v/>
      </c>
      <c r="M26" s="81"/>
      <c r="N26" s="70"/>
      <c r="O26" s="33"/>
    </row>
    <row r="27" spans="1:15" ht="15.75" thickBot="1" x14ac:dyDescent="0.3">
      <c r="A27" s="67"/>
      <c r="B27" s="30" t="s">
        <v>33</v>
      </c>
      <c r="C27" s="6">
        <v>20</v>
      </c>
      <c r="D27" s="25"/>
      <c r="E27" s="3"/>
      <c r="F27" s="3"/>
      <c r="G27" s="3"/>
      <c r="H27" s="19"/>
      <c r="I27" s="3"/>
      <c r="J27" s="3"/>
      <c r="K27" s="19"/>
      <c r="L27" s="57" t="str">
        <f t="shared" si="1"/>
        <v/>
      </c>
      <c r="M27" s="81"/>
      <c r="N27" s="70"/>
      <c r="O27" s="33"/>
    </row>
    <row r="28" spans="1:15" ht="15.75" thickBot="1" x14ac:dyDescent="0.3">
      <c r="A28" s="68"/>
      <c r="B28" s="29" t="s">
        <v>34</v>
      </c>
      <c r="C28" s="7">
        <v>5</v>
      </c>
      <c r="D28" s="26"/>
      <c r="E28" s="21"/>
      <c r="F28" s="21"/>
      <c r="G28" s="21"/>
      <c r="H28" s="22"/>
      <c r="I28" s="21"/>
      <c r="J28" s="21"/>
      <c r="K28" s="22"/>
      <c r="L28" s="38" t="str">
        <f t="shared" si="1"/>
        <v/>
      </c>
      <c r="M28" s="82"/>
      <c r="N28" s="71"/>
      <c r="O28" s="33" t="s">
        <v>45</v>
      </c>
    </row>
    <row r="29" spans="1:15" ht="15.75" thickBot="1" x14ac:dyDescent="0.3">
      <c r="A29" s="66" t="s">
        <v>37</v>
      </c>
      <c r="B29" s="15" t="s">
        <v>20</v>
      </c>
      <c r="C29" s="23">
        <v>10</v>
      </c>
      <c r="D29" s="19">
        <v>7</v>
      </c>
      <c r="E29" s="20"/>
      <c r="F29" s="20"/>
      <c r="G29" s="20"/>
      <c r="H29" s="36"/>
      <c r="I29" s="13"/>
      <c r="J29" s="13"/>
      <c r="K29" s="18"/>
      <c r="L29" s="38">
        <f>IFERROR(AVERAGE(D29:K29),"")</f>
        <v>7</v>
      </c>
      <c r="M29" s="80" cm="1">
        <f t="array" ref="M29">IFERROR(SUMPRODUCT(C29:C38,L29:L38)/SUMPRODUCT(C29:C38,--(L29:L38&lt;&gt;"")),"aucune valeur")</f>
        <v>9.9642857142857135</v>
      </c>
      <c r="N29" s="83" t="str">
        <f>IF(OR(M29&lt;8,COUNTIF(D29:K38,"abi")&gt;0),"Bloque l'année",IF(M29&lt;10,"Attention, moyenne de compétence sous 10","Bloc validé"))</f>
        <v>Attention, moyenne de compétence sous 10</v>
      </c>
      <c r="O29" s="37">
        <f>IFERROR(IF((AVERAGE(M22:M46)-S3)&gt;0,AVERAGE(M22:M46)-S3,0), "Aucun résultat semestre")</f>
        <v>9.7642857142857142</v>
      </c>
    </row>
    <row r="30" spans="1:15" ht="15.75" thickBot="1" x14ac:dyDescent="0.3">
      <c r="A30" s="67"/>
      <c r="B30" s="16" t="s">
        <v>21</v>
      </c>
      <c r="C30" s="1">
        <v>15</v>
      </c>
      <c r="D30" s="3">
        <v>8.5</v>
      </c>
      <c r="E30" s="3">
        <v>10</v>
      </c>
      <c r="G30" s="3"/>
      <c r="I30" s="3"/>
      <c r="J30" s="3"/>
      <c r="K30" s="19"/>
      <c r="L30" s="38">
        <f>IFERROR(AVERAGE(D30:K30),"")</f>
        <v>9.25</v>
      </c>
      <c r="M30" s="81"/>
      <c r="N30" s="70"/>
      <c r="O30" s="33"/>
    </row>
    <row r="31" spans="1:15" ht="15.75" thickBot="1" x14ac:dyDescent="0.3">
      <c r="A31" s="67"/>
      <c r="B31" s="15" t="s">
        <v>22</v>
      </c>
      <c r="C31" s="1">
        <v>15</v>
      </c>
      <c r="D31" s="25"/>
      <c r="E31" s="3"/>
      <c r="F31" s="3"/>
      <c r="G31" s="3"/>
      <c r="H31" s="19"/>
      <c r="I31" s="3"/>
      <c r="J31" s="3"/>
      <c r="K31" s="19"/>
      <c r="L31" s="38" t="str">
        <f t="shared" si="1"/>
        <v/>
      </c>
      <c r="M31" s="81"/>
      <c r="N31" s="70"/>
      <c r="O31" s="33"/>
    </row>
    <row r="32" spans="1:15" ht="15.75" thickBot="1" x14ac:dyDescent="0.3">
      <c r="A32" s="67"/>
      <c r="B32" s="15" t="s">
        <v>23</v>
      </c>
      <c r="C32" s="1">
        <v>15</v>
      </c>
      <c r="D32" s="25"/>
      <c r="E32" s="3"/>
      <c r="F32" s="3"/>
      <c r="G32" s="3"/>
      <c r="H32" s="19"/>
      <c r="I32" s="3"/>
      <c r="J32" s="3"/>
      <c r="K32" s="19"/>
      <c r="L32" s="38" t="str">
        <f t="shared" si="1"/>
        <v/>
      </c>
      <c r="M32" s="81"/>
      <c r="N32" s="70"/>
      <c r="O32" s="49"/>
    </row>
    <row r="33" spans="1:15" ht="15.75" thickBot="1" x14ac:dyDescent="0.3">
      <c r="A33" s="67"/>
      <c r="B33" s="15" t="s">
        <v>29</v>
      </c>
      <c r="C33" s="1">
        <v>10</v>
      </c>
      <c r="D33" s="25"/>
      <c r="E33" s="3"/>
      <c r="F33" s="3"/>
      <c r="G33" s="3"/>
      <c r="H33" s="19"/>
      <c r="J33" s="3"/>
      <c r="K33" s="19"/>
      <c r="L33" s="38" t="str">
        <f t="shared" si="1"/>
        <v/>
      </c>
      <c r="M33" s="81"/>
      <c r="N33" s="70"/>
      <c r="O33" s="33"/>
    </row>
    <row r="34" spans="1:15" ht="15.75" thickBot="1" x14ac:dyDescent="0.3">
      <c r="A34" s="67"/>
      <c r="B34" s="15" t="s">
        <v>30</v>
      </c>
      <c r="C34" s="1">
        <v>10</v>
      </c>
      <c r="D34" s="19">
        <v>14</v>
      </c>
      <c r="E34" s="3"/>
      <c r="F34" s="3"/>
      <c r="G34" s="3"/>
      <c r="I34" s="3"/>
      <c r="J34" s="3"/>
      <c r="K34" s="19"/>
      <c r="L34" s="38">
        <f>IFERROR(AVERAGE(D34:K34),"")</f>
        <v>14</v>
      </c>
      <c r="M34" s="81"/>
      <c r="N34" s="70"/>
      <c r="O34" s="33"/>
    </row>
    <row r="35" spans="1:15" ht="15.75" thickBot="1" x14ac:dyDescent="0.3">
      <c r="A35" s="67"/>
      <c r="B35" s="29" t="s">
        <v>27</v>
      </c>
      <c r="C35" s="6">
        <v>5</v>
      </c>
      <c r="D35" s="25"/>
      <c r="E35" s="3"/>
      <c r="F35" s="3"/>
      <c r="G35" s="3"/>
      <c r="H35" s="19"/>
      <c r="I35" s="3"/>
      <c r="J35" s="3"/>
      <c r="K35" s="19"/>
      <c r="L35" s="38" t="str">
        <f t="shared" si="1"/>
        <v/>
      </c>
      <c r="M35" s="81"/>
      <c r="N35" s="70"/>
      <c r="O35" s="33"/>
    </row>
    <row r="36" spans="1:15" ht="15.75" thickBot="1" x14ac:dyDescent="0.3">
      <c r="A36" s="67"/>
      <c r="B36" s="30" t="s">
        <v>32</v>
      </c>
      <c r="C36" s="6">
        <v>5</v>
      </c>
      <c r="D36" s="25"/>
      <c r="E36" s="3"/>
      <c r="F36" s="3"/>
      <c r="G36" s="3"/>
      <c r="H36" s="19"/>
      <c r="I36" s="3"/>
      <c r="J36" s="3"/>
      <c r="K36" s="19"/>
      <c r="L36" s="38" t="str">
        <f t="shared" si="1"/>
        <v/>
      </c>
      <c r="M36" s="81"/>
      <c r="N36" s="70"/>
      <c r="O36" s="33"/>
    </row>
    <row r="37" spans="1:15" ht="15.75" thickBot="1" x14ac:dyDescent="0.3">
      <c r="A37" s="67"/>
      <c r="B37" s="30" t="s">
        <v>33</v>
      </c>
      <c r="C37" s="6">
        <v>10</v>
      </c>
      <c r="D37" s="25"/>
      <c r="E37" s="3"/>
      <c r="F37" s="3"/>
      <c r="G37" s="3"/>
      <c r="H37" s="19"/>
      <c r="I37" s="3"/>
      <c r="J37" s="3"/>
      <c r="K37" s="19"/>
      <c r="L37" s="38" t="str">
        <f t="shared" si="1"/>
        <v/>
      </c>
      <c r="M37" s="81"/>
      <c r="N37" s="70"/>
      <c r="O37" s="33"/>
    </row>
    <row r="38" spans="1:15" ht="15.75" thickBot="1" x14ac:dyDescent="0.3">
      <c r="A38" s="68"/>
      <c r="B38" s="29" t="s">
        <v>34</v>
      </c>
      <c r="C38" s="7">
        <v>5</v>
      </c>
      <c r="D38" s="26"/>
      <c r="E38" s="21"/>
      <c r="F38" s="21"/>
      <c r="G38" s="21"/>
      <c r="H38" s="22"/>
      <c r="I38" s="21"/>
      <c r="J38" s="21"/>
      <c r="K38" s="22"/>
      <c r="L38" s="38" t="str">
        <f t="shared" si="1"/>
        <v/>
      </c>
      <c r="M38" s="81"/>
      <c r="N38" s="71"/>
      <c r="O38" s="33" t="s">
        <v>46</v>
      </c>
    </row>
    <row r="39" spans="1:15" ht="15.75" thickBot="1" x14ac:dyDescent="0.3">
      <c r="A39" s="69" t="s">
        <v>38</v>
      </c>
      <c r="B39" s="17" t="s">
        <v>24</v>
      </c>
      <c r="C39" s="23">
        <v>15</v>
      </c>
      <c r="D39" s="24"/>
      <c r="E39" s="20"/>
      <c r="F39" s="20"/>
      <c r="G39" s="20"/>
      <c r="H39" s="36"/>
      <c r="I39" s="13"/>
      <c r="J39" s="13"/>
      <c r="K39" s="18"/>
      <c r="L39" s="38" t="str">
        <f t="shared" si="1"/>
        <v/>
      </c>
      <c r="M39" s="80" t="str" cm="1">
        <f t="array" ref="M39">IFERROR(SUMPRODUCT(C39:C46,L39:L46)/SUMPRODUCT(C39:C46,--(L39:L46&lt;&gt;"")),"aucune valeur")</f>
        <v>aucune valeur</v>
      </c>
      <c r="N39" s="83" t="str">
        <f>IF(OR(M39&lt;8,COUNTIF(D39:K46,"abi")&gt;0),"Bloque l'année",IF(M39&lt;10,"Attention, moyenne de compétence sous 10","Bloc validé"))</f>
        <v>Bloc validé</v>
      </c>
      <c r="O39" s="33" t="str">
        <f>IF( AND( O29&gt;=10, COUNTIF(N22:N46,"Bloque l'année")&lt;1),"validé", "non validé")</f>
        <v>non validé</v>
      </c>
    </row>
    <row r="40" spans="1:15" ht="15.75" thickBot="1" x14ac:dyDescent="0.3">
      <c r="A40" s="70"/>
      <c r="B40" s="17" t="s">
        <v>25</v>
      </c>
      <c r="C40" s="1">
        <v>15</v>
      </c>
      <c r="D40" s="25"/>
      <c r="E40" s="3"/>
      <c r="F40" s="3"/>
      <c r="G40" s="3"/>
      <c r="H40" s="19"/>
      <c r="I40" s="3"/>
      <c r="J40" s="3"/>
      <c r="K40" s="19"/>
      <c r="L40" s="38" t="str">
        <f t="shared" si="1"/>
        <v/>
      </c>
      <c r="M40" s="81"/>
      <c r="N40" s="70"/>
      <c r="O40" s="33"/>
    </row>
    <row r="41" spans="1:15" ht="15.75" thickBot="1" x14ac:dyDescent="0.3">
      <c r="A41" s="70"/>
      <c r="B41" s="17" t="s">
        <v>26</v>
      </c>
      <c r="C41" s="1">
        <v>25</v>
      </c>
      <c r="D41" s="3"/>
      <c r="E41" s="3"/>
      <c r="G41" s="3"/>
      <c r="H41" s="19"/>
      <c r="I41" s="3"/>
      <c r="J41" s="3"/>
      <c r="K41" s="19"/>
      <c r="L41" s="38" t="str">
        <f>IFERROR(AVERAGE(D41:K41),"")</f>
        <v/>
      </c>
      <c r="M41" s="81"/>
      <c r="N41" s="70"/>
      <c r="O41" s="33"/>
    </row>
    <row r="42" spans="1:15" ht="15.75" thickBot="1" x14ac:dyDescent="0.3">
      <c r="A42" s="70"/>
      <c r="B42" s="17" t="s">
        <v>31</v>
      </c>
      <c r="C42" s="1">
        <v>10</v>
      </c>
      <c r="D42" s="25"/>
      <c r="E42" s="3"/>
      <c r="F42" s="3"/>
      <c r="G42" s="3"/>
      <c r="H42" s="19"/>
      <c r="I42" s="3"/>
      <c r="J42" s="3"/>
      <c r="K42" s="19"/>
      <c r="L42" s="38" t="str">
        <f t="shared" si="1"/>
        <v/>
      </c>
      <c r="M42" s="81"/>
      <c r="N42" s="70"/>
      <c r="O42" s="33"/>
    </row>
    <row r="43" spans="1:15" ht="15.75" thickBot="1" x14ac:dyDescent="0.3">
      <c r="A43" s="70"/>
      <c r="B43" s="29" t="s">
        <v>27</v>
      </c>
      <c r="C43" s="6">
        <v>5</v>
      </c>
      <c r="D43" s="25"/>
      <c r="E43" s="3"/>
      <c r="F43" s="3"/>
      <c r="G43" s="3"/>
      <c r="H43" s="19"/>
      <c r="I43" s="3"/>
      <c r="J43" s="3"/>
      <c r="K43" s="19"/>
      <c r="L43" s="38" t="str">
        <f t="shared" si="1"/>
        <v/>
      </c>
      <c r="M43" s="81"/>
      <c r="N43" s="70"/>
      <c r="O43" s="33"/>
    </row>
    <row r="44" spans="1:15" ht="15.75" thickBot="1" x14ac:dyDescent="0.3">
      <c r="A44" s="70"/>
      <c r="B44" s="30" t="s">
        <v>32</v>
      </c>
      <c r="C44" s="6">
        <v>5</v>
      </c>
      <c r="D44" s="25"/>
      <c r="E44" s="3"/>
      <c r="F44" s="3"/>
      <c r="G44" s="3"/>
      <c r="H44" s="19"/>
      <c r="I44" s="3"/>
      <c r="J44" s="3"/>
      <c r="K44" s="19"/>
      <c r="L44" s="38" t="str">
        <f t="shared" si="1"/>
        <v/>
      </c>
      <c r="M44" s="81"/>
      <c r="N44" s="70"/>
      <c r="O44" s="33"/>
    </row>
    <row r="45" spans="1:15" ht="15.75" thickBot="1" x14ac:dyDescent="0.3">
      <c r="A45" s="70"/>
      <c r="B45" s="30" t="s">
        <v>33</v>
      </c>
      <c r="C45" s="6">
        <v>20</v>
      </c>
      <c r="D45" s="25"/>
      <c r="E45" s="3"/>
      <c r="F45" s="3"/>
      <c r="G45" s="3"/>
      <c r="H45" s="19"/>
      <c r="I45" s="3"/>
      <c r="J45" s="3"/>
      <c r="K45" s="19"/>
      <c r="L45" s="38" t="str">
        <f t="shared" si="1"/>
        <v/>
      </c>
      <c r="M45" s="81"/>
      <c r="N45" s="70"/>
      <c r="O45" s="33"/>
    </row>
    <row r="46" spans="1:15" ht="15.75" thickBot="1" x14ac:dyDescent="0.3">
      <c r="A46" s="71"/>
      <c r="B46" s="29" t="s">
        <v>34</v>
      </c>
      <c r="C46" s="7">
        <v>5</v>
      </c>
      <c r="D46" s="26"/>
      <c r="E46" s="21"/>
      <c r="F46" s="21"/>
      <c r="G46" s="21"/>
      <c r="H46" s="22"/>
      <c r="I46" s="21"/>
      <c r="J46" s="21"/>
      <c r="K46" s="22"/>
      <c r="L46" s="52" t="str">
        <f t="shared" si="1"/>
        <v/>
      </c>
      <c r="M46" s="82"/>
      <c r="N46" s="71"/>
      <c r="O46" s="34"/>
    </row>
  </sheetData>
  <mergeCells count="22">
    <mergeCell ref="N22:N28"/>
    <mergeCell ref="N29:N38"/>
    <mergeCell ref="N39:N46"/>
    <mergeCell ref="M2:M7"/>
    <mergeCell ref="M8:M12"/>
    <mergeCell ref="M13:M19"/>
    <mergeCell ref="N2:N7"/>
    <mergeCell ref="N13:N19"/>
    <mergeCell ref="N8:N12"/>
    <mergeCell ref="D1:K1"/>
    <mergeCell ref="D21:K21"/>
    <mergeCell ref="M22:M28"/>
    <mergeCell ref="M29:M38"/>
    <mergeCell ref="M39:M46"/>
    <mergeCell ref="A22:A28"/>
    <mergeCell ref="A29:A38"/>
    <mergeCell ref="A39:A46"/>
    <mergeCell ref="A21:B21"/>
    <mergeCell ref="A1:B1"/>
    <mergeCell ref="A2:A7"/>
    <mergeCell ref="A8:A12"/>
    <mergeCell ref="A13:A19"/>
  </mergeCells>
  <phoneticPr fontId="6" type="noConversion"/>
  <conditionalFormatting sqref="D22:K23 D24:E24 G24:K24 D42:K46 G41:K41 D41:E41 D35:K40 I34:K34 D34:G34 J33:K33 D33:H33 D31:K32 D30:E30 G30 I30:K30 D26:K29 F25:K25 D24:D25 D4:E5 D3 G2:K5 D2:E2 H6:K6 D6:F6 D7:K9 I10:K10 D10:G10 D11:K15 D17:K19 I16:K16 D16:G16">
    <cfRule type="cellIs" dxfId="7" priority="9" operator="equal">
      <formula>"ABI"</formula>
    </cfRule>
  </conditionalFormatting>
  <conditionalFormatting sqref="N2:N19 N22:N46">
    <cfRule type="cellIs" dxfId="6" priority="5" operator="equal">
      <formula>"Attention, moyenne de compétence sous 10"</formula>
    </cfRule>
    <cfRule type="cellIs" dxfId="5" priority="6" operator="equal">
      <formula>"Bloque l'année"</formula>
    </cfRule>
    <cfRule type="cellIs" dxfId="4" priority="7" operator="equal">
      <formula>"Bloc validé"</formula>
    </cfRule>
  </conditionalFormatting>
  <conditionalFormatting sqref="U14">
    <cfRule type="cellIs" dxfId="3" priority="1" operator="equal">
      <formula>"Ne passe pas l'année"</formula>
    </cfRule>
    <cfRule type="cellIs" dxfId="2" priority="2" operator="equal">
      <formula>"Passe l'année"</formula>
    </cfRule>
    <cfRule type="cellIs" dxfId="1" priority="3" operator="equal">
      <formula>"Ne passe pas"</formula>
    </cfRule>
    <cfRule type="cellIs" dxfId="0" priority="4" operator="equal">
      <formula>"Passe"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21B67-87AC-42D2-82AE-2C264CE7E4E6}">
  <sheetPr codeName="Feuil3"/>
  <dimension ref="A1"/>
  <sheetViews>
    <sheetView showGridLines="0" showRowColHeaders="0" topLeftCell="A10" zoomScale="55" zoomScaleNormal="55" workbookViewId="0">
      <selection activeCell="AB29" sqref="AB2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4411d05-e2f5-429c-b461-e191d50f1f1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E53F2CA32DB043B8A33EA5127C7521" ma:contentTypeVersion="9" ma:contentTypeDescription="Crée un document." ma:contentTypeScope="" ma:versionID="88e4bb006d8f044c0021c68439541b64">
  <xsd:schema xmlns:xsd="http://www.w3.org/2001/XMLSchema" xmlns:xs="http://www.w3.org/2001/XMLSchema" xmlns:p="http://schemas.microsoft.com/office/2006/metadata/properties" xmlns:ns3="d4411d05-e2f5-429c-b461-e191d50f1f19" targetNamespace="http://schemas.microsoft.com/office/2006/metadata/properties" ma:root="true" ma:fieldsID="f8a9d51aa084ca51f7a70e223ede6394" ns3:_="">
    <xsd:import namespace="d4411d05-e2f5-429c-b461-e191d50f1f19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411d05-e2f5-429c-b461-e191d50f1f19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1BBEA6-905D-47F3-B2F1-251995B5C7C3}">
  <ds:schemaRefs>
    <ds:schemaRef ds:uri="http://schemas.microsoft.com/office/2006/metadata/properties"/>
    <ds:schemaRef ds:uri="d4411d05-e2f5-429c-b461-e191d50f1f19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9EFD973-1320-40F2-BDA3-93D5DCC45B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411d05-e2f5-429c-b461-e191d50f1f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95EA1B-B561-481E-9A5E-8AF116B785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Accueil</vt:lpstr>
      <vt:lpstr>Notes</vt:lpstr>
      <vt:lpstr>Tableau de Bord</vt:lpstr>
      <vt:lpstr>NotesComp1</vt:lpstr>
    </vt:vector>
  </TitlesOfParts>
  <Company>Universite de Poitiers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clement bouteiller</dc:creator>
  <cp:lastModifiedBy>seb bout</cp:lastModifiedBy>
  <dcterms:created xsi:type="dcterms:W3CDTF">2025-12-16T08:21:23Z</dcterms:created>
  <dcterms:modified xsi:type="dcterms:W3CDTF">2026-04-15T13:58:27Z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0x010100E8E53F2CA32DB043B8A33EA5127C7521</vt:lpwstr>
  </property>
</Properties>
</file>